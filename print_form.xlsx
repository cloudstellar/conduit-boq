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saveExternalLinkValues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e4e31f3e5443f77/TOT/TOR/2024/กาญจนบุรี/"/>
    </mc:Choice>
  </mc:AlternateContent>
  <xr:revisionPtr revIDLastSave="0" documentId="8_{25D38FCD-0750-4B4A-BA59-487CCB0AC884}" xr6:coauthVersionLast="47" xr6:coauthVersionMax="47" xr10:uidLastSave="{00000000-0000-0000-0000-000000000000}"/>
  <bookViews>
    <workbookView xWindow="-108" yWindow="-108" windowWidth="30936" windowHeight="16776" firstSheet="2" activeTab="3" xr2:uid="{00000000-000D-0000-FFFF-FFFF00000000}"/>
  </bookViews>
  <sheets>
    <sheet name="Recovered_Sheet1" sheetId="17" state="veryHidden" r:id="rId1"/>
    <sheet name="000000" sheetId="18" state="veryHidden" r:id="rId2"/>
    <sheet name="ปร.4 " sheetId="89" r:id="rId3"/>
    <sheet name="สรุป" sheetId="98" r:id="rId4"/>
  </sheets>
  <definedNames>
    <definedName name="_xlnm.Print_Area" localSheetId="2">'ปร.4 '!$A$1:$J$42</definedName>
    <definedName name="_xlnm.Print_Area" localSheetId="3">สรุป!$A$1:$H$30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89" l="1"/>
  <c r="H32" i="89"/>
  <c r="I32" i="89" l="1"/>
  <c r="H25" i="89" l="1"/>
  <c r="F25" i="89"/>
  <c r="I25" i="89" l="1"/>
  <c r="H15" i="89"/>
  <c r="F15" i="89"/>
  <c r="I15" i="89" l="1"/>
  <c r="H33" i="89"/>
  <c r="F33" i="89"/>
  <c r="I33" i="89" l="1"/>
  <c r="H30" i="89"/>
  <c r="F30" i="89"/>
  <c r="I30" i="89" l="1"/>
  <c r="F23" i="89"/>
  <c r="H23" i="89"/>
  <c r="K23" i="89"/>
  <c r="L23" i="89"/>
  <c r="Q23" i="89"/>
  <c r="T23" i="89"/>
  <c r="I23" i="89" l="1"/>
  <c r="U23" i="89"/>
  <c r="S23" i="89"/>
  <c r="V23" i="89" s="1"/>
  <c r="H13" i="89"/>
  <c r="F13" i="89"/>
  <c r="I13" i="89" l="1"/>
  <c r="F29" i="89"/>
  <c r="H29" i="89"/>
  <c r="F31" i="89"/>
  <c r="H31" i="89"/>
  <c r="K31" i="89"/>
  <c r="L31" i="89"/>
  <c r="Q31" i="89"/>
  <c r="I31" i="89" l="1"/>
  <c r="I29" i="89"/>
  <c r="S31" i="89"/>
  <c r="H28" i="89" l="1"/>
  <c r="F28" i="89"/>
  <c r="H27" i="89"/>
  <c r="F27" i="89"/>
  <c r="H24" i="89"/>
  <c r="F24" i="89"/>
  <c r="I24" i="89" l="1"/>
  <c r="I28" i="89"/>
  <c r="I27" i="89"/>
  <c r="H19" i="89"/>
  <c r="F19" i="89"/>
  <c r="H18" i="89"/>
  <c r="F18" i="89"/>
  <c r="I18" i="89" l="1"/>
  <c r="I19" i="89"/>
  <c r="H26" i="89"/>
  <c r="F26" i="89"/>
  <c r="I26" i="89" l="1"/>
  <c r="F21" i="89"/>
  <c r="H21" i="89"/>
  <c r="I21" i="89" l="1"/>
  <c r="H16" i="89"/>
  <c r="F16" i="89"/>
  <c r="I16" i="89" l="1"/>
  <c r="F12" i="89"/>
  <c r="H12" i="89"/>
  <c r="F14" i="89"/>
  <c r="H14" i="89"/>
  <c r="F17" i="89"/>
  <c r="H17" i="89"/>
  <c r="F20" i="89"/>
  <c r="H20" i="89"/>
  <c r="F22" i="89"/>
  <c r="H22" i="89"/>
  <c r="I22" i="89" l="1"/>
  <c r="I17" i="89"/>
  <c r="I20" i="89"/>
  <c r="I14" i="89"/>
  <c r="I12" i="89"/>
  <c r="I35" i="89" l="1"/>
  <c r="H30" i="98"/>
  <c r="H29" i="98"/>
  <c r="C5" i="98" l="1"/>
  <c r="Q22" i="89" l="1"/>
  <c r="Q20" i="89"/>
  <c r="Q14" i="89"/>
  <c r="D6" i="98"/>
  <c r="B5" i="98" l="1"/>
  <c r="L22" i="89" l="1"/>
  <c r="K22" i="89"/>
  <c r="S22" i="89" l="1"/>
  <c r="S20" i="89"/>
  <c r="S14" i="89"/>
  <c r="L20" i="89" l="1"/>
  <c r="K20" i="89"/>
  <c r="L14" i="89" l="1"/>
  <c r="K14" i="89"/>
  <c r="K35" i="89" l="1"/>
  <c r="S35" i="89"/>
  <c r="L35" i="89"/>
  <c r="F35" i="89"/>
  <c r="H35" i="89"/>
  <c r="K44" i="89" l="1"/>
  <c r="D9" i="98" l="1"/>
  <c r="C9" i="98"/>
  <c r="F9" i="98" l="1"/>
  <c r="F19" i="98" s="1"/>
  <c r="F20" i="98" l="1"/>
  <c r="G21" i="98" s="1"/>
  <c r="C23" i="98"/>
  <c r="T14" i="89" l="1"/>
  <c r="T20" i="89" l="1"/>
  <c r="U14" i="89"/>
  <c r="V14" i="89"/>
  <c r="V20" i="89" l="1"/>
  <c r="U20" i="89"/>
  <c r="T22" i="89" l="1"/>
  <c r="V22" i="89" l="1"/>
  <c r="U22" i="89"/>
  <c r="T31" i="89" l="1"/>
  <c r="U31" i="89" l="1"/>
  <c r="V31" i="89"/>
  <c r="V35" i="89" l="1"/>
</calcChain>
</file>

<file path=xl/sharedStrings.xml><?xml version="1.0" encoding="utf-8"?>
<sst xmlns="http://schemas.openxmlformats.org/spreadsheetml/2006/main" count="125" uniqueCount="93">
  <si>
    <t>หน่วย</t>
  </si>
  <si>
    <t>หมายเหตุ</t>
  </si>
  <si>
    <t>ราคากลาง</t>
  </si>
  <si>
    <t>หน้าที่ 1/1</t>
  </si>
  <si>
    <t>ลำดับที่</t>
  </si>
  <si>
    <t>หน่วย : บาท</t>
  </si>
  <si>
    <t>รายการ</t>
  </si>
  <si>
    <t>ค่างานต้นทุน</t>
  </si>
  <si>
    <t>Factor F</t>
  </si>
  <si>
    <t>ค่าวัสดุ (1)</t>
  </si>
  <si>
    <t xml:space="preserve">ค่าแรง (2) </t>
  </si>
  <si>
    <t>ราคาต่อหน่วย</t>
  </si>
  <si>
    <t>ราคาทุน</t>
  </si>
  <si>
    <t>ราคาต่อหน่วย * FF</t>
  </si>
  <si>
    <t>ปริมาณงาน</t>
  </si>
  <si>
    <t>ใหม่ 61</t>
  </si>
  <si>
    <t>ที่</t>
  </si>
  <si>
    <t>รายละเอียด</t>
  </si>
  <si>
    <t>ราคา/หน่วย</t>
  </si>
  <si>
    <t xml:space="preserve">จำนวนเงิน </t>
  </si>
  <si>
    <t>(1) + (2) รวมประมาณค่าก่อสร้างทั้งโครงการ/งานก่อสร้าง เป็นเงินทั้งสิ้น</t>
  </si>
  <si>
    <t>ผู้ประมาณราคา</t>
  </si>
  <si>
    <t xml:space="preserve">พื้นที่ก่อสร้าง </t>
  </si>
  <si>
    <t>(1) ประมาณราคาก่อสร้างทั้งโครงการ/งานก่อสร้าง ก่อนภาษี</t>
  </si>
  <si>
    <t>แบบ ปร.4 (ก)</t>
  </si>
  <si>
    <t>พื้นที่ก่อสร้าง</t>
  </si>
  <si>
    <t>ค่าก่อสร้าง (ไม่รวม VAT)</t>
  </si>
  <si>
    <t>ที่มา</t>
  </si>
  <si>
    <t>(3)=(1)+(2)</t>
  </si>
  <si>
    <t>ประมาณราคาค่าก่อสร้าง ก่อนภาษี</t>
  </si>
  <si>
    <t>XXX &lt; 5 ลบ.</t>
  </si>
  <si>
    <t>XXX &gt; 5 ลบ.</t>
  </si>
  <si>
    <t>ค่าวัสดุและค่าแรงไม่รวมภาษีมูลค่าเพิ่ม</t>
  </si>
  <si>
    <t>Factor  &lt; 5 ลบ.</t>
  </si>
  <si>
    <t>Factor  &gt; 5 ลบ.</t>
  </si>
  <si>
    <t xml:space="preserve">(2) ภาษีมูลค่าเพิ่ม 7.00 % </t>
  </si>
  <si>
    <t>ส่วนงาน วิศวกรรมท่อร้อยสาย (วทฐ.)</t>
  </si>
  <si>
    <t xml:space="preserve">บัญชีราคา งานจ้างเหมาก่อสร้างท่อร้อยสายสื่อสารใต้ดินและ/หรือบ่อพัก  </t>
  </si>
  <si>
    <t>ผลรวมค่างานต้นทุนงานก่อสร้างท่อร้อยสายสื่อสารใต้ดิน</t>
  </si>
  <si>
    <t>t</t>
  </si>
  <si>
    <t>ค่าก่อสร้าง (รวม VAT)</t>
  </si>
  <si>
    <t>หน่วย - บาท</t>
  </si>
  <si>
    <t>รวม - บาท</t>
  </si>
  <si>
    <t>งานซ่อมถนนแอสฟัลต์ชั่วคราว</t>
  </si>
  <si>
    <t>ม.</t>
  </si>
  <si>
    <t>บ่อ</t>
  </si>
  <si>
    <t>ต้น</t>
  </si>
  <si>
    <t>จุด</t>
  </si>
  <si>
    <t>ตรม.</t>
  </si>
  <si>
    <t>นาย ชายชาญ  ชื่นมีศรี</t>
  </si>
  <si>
    <t xml:space="preserve">ผู้ประมาณราคา    </t>
  </si>
  <si>
    <t xml:space="preserve">    </t>
  </si>
  <si>
    <t xml:space="preserve">  </t>
  </si>
  <si>
    <t>งานวางท่อ 1-𝜙3" PVC. กลบทราย</t>
  </si>
  <si>
    <t>งานปักเสาโทรศัพท์คอนกรีตเสริมเหล็กขนาด 8.00 ม.</t>
  </si>
  <si>
    <t>งานเจาะผนังบ่อพักย่อย ( PB )</t>
  </si>
  <si>
    <t>งานซ่อมถนนคอนกรีตเสริมเหล็กหนา 0.20 ม. ตามแบบมาตรฐานเลขที่ 20/29</t>
  </si>
  <si>
    <t>งานซ่อมคันหิน ตามแบบมาตรฐานเลขที่ ถ. 620/29</t>
  </si>
  <si>
    <t>งานสร้างบ่อพัก (PB) JUF-11 ฝาค.ส.ล ตามแบบมาตรฐานเลขที่ 101</t>
  </si>
  <si>
    <t>งานสร้างบ่อพัก (PB) JUF-11 ฝาเหล็ก ตามแบบมาตรฐานเลขที่ 101</t>
  </si>
  <si>
    <t>เสา STEEL POLE กัลวาไนซ์ หน้ากว้าง3"x3" ยาว 2.20 เมตร.</t>
  </si>
  <si>
    <t>งานซ่อมทางเท้าแสตมป์คอนกรีต</t>
  </si>
  <si>
    <t>งานซ่อมทางเท้าคอนกรีตหน้าทรายขัด</t>
  </si>
  <si>
    <t>รวมราคากับคันหิน</t>
  </si>
  <si>
    <t>รวมราคางานซ่อมทางเท้าปูแผ่นกระเบื้อง 0.40x0.40x0.05 ม.</t>
  </si>
  <si>
    <t>งานซ่อมทางเท้าปูแผ่นกระเบื้อง 0.30x0.30x0.05 ม.</t>
  </si>
  <si>
    <t xml:space="preserve"> </t>
  </si>
  <si>
    <t>แบบก่อสร้างท่อร้อยสายสื่อสารใต้ดิน</t>
  </si>
  <si>
    <t>งานสร้างท่อโค้ง 2-𝜙3" ขึ้นเสา ตามแบบมาตรฐานเลขที่ 152</t>
  </si>
  <si>
    <t>ชส.กาญจนบุรี จ.กาญจนบุรี</t>
  </si>
  <si>
    <t>โครงการ ปรับปรุงระบบจำหน่ายไฟฟ้าเป็นเคเบิลใต้ดิน</t>
  </si>
  <si>
    <t>งานวางท่อ 1-𝜙1.5" PVC. กลบทราย</t>
  </si>
  <si>
    <t>งานสร้างบ่อพักย่อย (PB) JUF-6 ฝา ค.ส.ล. ตามแบบมาตรฐานเลขที่ 101</t>
  </si>
  <si>
    <t>Riser service</t>
  </si>
  <si>
    <t>ชุด</t>
  </si>
  <si>
    <t>งานซ่อมทางเท้าปูอิฐอินเตอร์ล็อค(แบบมีสี) ตามมาตรฐานเลขที่ ฟ.1305</t>
  </si>
  <si>
    <t>งานซ่อมถนนแอสฟัลต์หนา 0.10 ม.ตามแบบมาตรฐานเลขที่ ถอ.60/29</t>
  </si>
  <si>
    <t>งานซ่อมทางเท้าปูแผ่นคอนกรีต ขนาด 0.40 x 0.40 x 0.05 ม.</t>
  </si>
  <si>
    <r>
      <rPr>
        <b/>
        <sz val="14"/>
        <rFont val="TH Sarabun New"/>
        <family val="2"/>
      </rPr>
      <t>เส้นทาง</t>
    </r>
    <r>
      <rPr>
        <sz val="14"/>
        <rFont val="TH Sarabun New"/>
        <family val="2"/>
      </rPr>
      <t xml:space="preserve"> </t>
    </r>
  </si>
  <si>
    <r>
      <t xml:space="preserve">ค่าวัสดุ </t>
    </r>
    <r>
      <rPr>
        <sz val="14"/>
        <rFont val="TH Sarabun New"/>
        <family val="2"/>
      </rPr>
      <t>ไม่รวมภาษีมูลค่าเพิ่ม (1)</t>
    </r>
  </si>
  <si>
    <r>
      <t xml:space="preserve">ค่าแรง </t>
    </r>
    <r>
      <rPr>
        <sz val="14"/>
        <rFont val="TH Sarabun New"/>
        <family val="2"/>
      </rPr>
      <t>ไม่รวมภาษีมูลค่าเพิ่ม (2)</t>
    </r>
  </si>
  <si>
    <r>
      <rPr>
        <b/>
        <u/>
        <sz val="13.5"/>
        <rFont val="TH Sarabun New"/>
        <family val="2"/>
      </rPr>
      <t>เงื่อนไข</t>
    </r>
    <r>
      <rPr>
        <b/>
        <sz val="13.5"/>
        <rFont val="TH Sarabun New"/>
        <family val="2"/>
      </rPr>
      <t xml:space="preserve">  </t>
    </r>
    <r>
      <rPr>
        <sz val="13.5"/>
        <rFont val="TH Sarabun New"/>
        <family val="2"/>
      </rPr>
      <t>Factor F งานก่อสร้างทาง</t>
    </r>
    <r>
      <rPr>
        <b/>
        <sz val="13.5"/>
        <rFont val="TH Sarabun New"/>
        <family val="2"/>
      </rPr>
      <t xml:space="preserve"> </t>
    </r>
    <r>
      <rPr>
        <sz val="13.5"/>
        <rFont val="TH Sarabun New"/>
        <family val="2"/>
      </rPr>
      <t xml:space="preserve">เงินล่วงหน้าจ่าย 0.00 %, เงินประกันผลงานหัก 0.00 %, ดอกเบี้ยเงินกู้ 7.00 % ต่อปี, ค่าภาษีมูลค่าเพิ่ม 7.00 % </t>
    </r>
  </si>
  <si>
    <r>
      <rPr>
        <b/>
        <u/>
        <sz val="13.5"/>
        <rFont val="TH Sarabun New"/>
        <family val="2"/>
      </rPr>
      <t>หมายเหตุ</t>
    </r>
    <r>
      <rPr>
        <sz val="13.5"/>
        <rFont val="TH Sarabun New"/>
        <family val="2"/>
      </rPr>
      <t xml:space="preserve"> ทั้งนี้ ราคางานโครงการ/งานก่อสร้าง ไม่ใช่ราคาค่าก่อสร้างที่แท้จริง แต่เป็นเพียงราคาโดยประมาณเท่านั้น</t>
    </r>
  </si>
  <si>
    <r>
      <rPr>
        <b/>
        <u/>
        <sz val="13"/>
        <rFont val="TH Sarabun New"/>
        <family val="2"/>
      </rPr>
      <t>สรุปรวม</t>
    </r>
    <r>
      <rPr>
        <u/>
        <sz val="13"/>
        <rFont val="TH Sarabun New"/>
        <family val="2"/>
      </rPr>
      <t xml:space="preserve">  </t>
    </r>
  </si>
  <si>
    <r>
      <rPr>
        <b/>
        <sz val="13"/>
        <rFont val="TH Sarabun New"/>
        <family val="2"/>
      </rPr>
      <t>เส้นทาง</t>
    </r>
    <r>
      <rPr>
        <sz val="13"/>
        <rFont val="TH Sarabun New"/>
        <family val="2"/>
      </rPr>
      <t xml:space="preserve"> </t>
    </r>
  </si>
  <si>
    <t>งานวางท่อ 2-𝜙3" PVC. กลบทราย (MAIN DUCT)</t>
  </si>
  <si>
    <t>งานดันท่อลอด 2-Ø110 มม. HDPE PN10 (HDD) (MAIN DUCT)</t>
  </si>
  <si>
    <t>งานวางท่อ 2-𝜙3" PVC. กลบทราย (RISER)</t>
  </si>
  <si>
    <t>งานเจาะผนังบ่อพักย่อย ( MH )</t>
  </si>
  <si>
    <t>งานซ่อมทางเท้าปูกระเบื้อง CERAMIC ขนาด 0.30x0.30 ม. (แบบมีสีและลวดลาย)</t>
  </si>
  <si>
    <t>งานทุบถนนคอนกรีตเสริมเหล็ก</t>
  </si>
  <si>
    <t>ถนนแสงชูโต (ทางเข้าบ้านเหนือ - โรงเรียนเทศบาล 3)</t>
  </si>
  <si>
    <t xml:space="preserve"> สิงหาคม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</si>
</sst>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"/>
    <numFmt numFmtId="167" formatCode="_-* #,##0_-;\-* #,##0_-;_-* &quot;-&quot;??_-;_-@_-"/>
    <numFmt numFmtId="168" formatCode="#,##0.0000"/>
    <numFmt numFmtId="169" formatCode="_(* #,##0.0000_);_(* \(#,##0.0000\);_(* &quot;-&quot;??_);_(@_)"/>
  </numFmts>
  <fonts count="27" x14ac:knownFonts="1">
    <font>
      <sz val="14"/>
      <name val="AngsanaUPC"/>
    </font>
    <font>
      <sz val="14"/>
      <name val="AngsanaUPC"/>
      <family val="1"/>
    </font>
    <font>
      <sz val="14"/>
      <name val="Cordia New"/>
      <family val="2"/>
      <charset val="222"/>
    </font>
    <font>
      <b/>
      <sz val="14"/>
      <name val="TH Sarabun New"/>
      <family val="2"/>
    </font>
    <font>
      <sz val="14"/>
      <name val="TH Sarabun New"/>
      <family val="2"/>
    </font>
    <font>
      <sz val="14"/>
      <color theme="0"/>
      <name val="TH Sarabun New"/>
      <family val="2"/>
    </font>
    <font>
      <b/>
      <sz val="14"/>
      <color theme="0"/>
      <name val="TH Sarabun New"/>
      <family val="2"/>
    </font>
    <font>
      <b/>
      <sz val="13"/>
      <name val="TH Sarabun New"/>
      <family val="2"/>
    </font>
    <font>
      <b/>
      <sz val="13"/>
      <color theme="0"/>
      <name val="TH Sarabun New"/>
      <family val="2"/>
    </font>
    <font>
      <sz val="13"/>
      <name val="TH Sarabun New"/>
      <family val="2"/>
    </font>
    <font>
      <sz val="12"/>
      <name val="TH Sarabun New"/>
      <family val="2"/>
    </font>
    <font>
      <sz val="11"/>
      <name val="TH Sarabun New"/>
      <family val="2"/>
    </font>
    <font>
      <sz val="11"/>
      <color theme="0"/>
      <name val="TH Sarabun New"/>
      <family val="2"/>
    </font>
    <font>
      <b/>
      <sz val="11"/>
      <color theme="0"/>
      <name val="TH Sarabun New"/>
      <family val="2"/>
    </font>
    <font>
      <sz val="12"/>
      <color theme="0"/>
      <name val="TH Sarabun New"/>
      <family val="2"/>
    </font>
    <font>
      <b/>
      <u val="singleAccounting"/>
      <sz val="12"/>
      <name val="TH Sarabun New"/>
      <family val="2"/>
    </font>
    <font>
      <b/>
      <sz val="13.5"/>
      <name val="TH Sarabun New"/>
      <family val="2"/>
    </font>
    <font>
      <b/>
      <u/>
      <sz val="13.5"/>
      <name val="TH Sarabun New"/>
      <family val="2"/>
    </font>
    <font>
      <sz val="13.5"/>
      <name val="TH Sarabun New"/>
      <family val="2"/>
    </font>
    <font>
      <b/>
      <sz val="12"/>
      <name val="TH Sarabun New"/>
      <family val="2"/>
    </font>
    <font>
      <sz val="13"/>
      <color theme="0"/>
      <name val="TH Sarabun New"/>
      <family val="2"/>
    </font>
    <font>
      <sz val="14"/>
      <color indexed="8"/>
      <name val="TH Sarabun New"/>
      <family val="2"/>
    </font>
    <font>
      <b/>
      <sz val="14"/>
      <color indexed="8"/>
      <name val="TH Sarabun New"/>
      <family val="2"/>
    </font>
    <font>
      <u/>
      <sz val="13"/>
      <name val="TH Sarabun New"/>
      <family val="2"/>
    </font>
    <font>
      <b/>
      <u/>
      <sz val="13"/>
      <name val="TH Sarabun New"/>
      <family val="2"/>
    </font>
    <font>
      <sz val="13"/>
      <color theme="1"/>
      <name val="TH Sarabun New"/>
      <family val="2"/>
    </font>
    <font>
      <sz val="8"/>
      <name val="TH Sarabun New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37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5" fillId="3" borderId="0" xfId="0" applyFont="1" applyFill="1"/>
    <xf numFmtId="0" fontId="6" fillId="3" borderId="0" xfId="0" applyFont="1" applyFill="1" applyAlignment="1">
      <alignment horizontal="center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vertical="center"/>
    </xf>
    <xf numFmtId="0" fontId="8" fillId="3" borderId="0" xfId="0" applyFont="1" applyFill="1" applyAlignment="1">
      <alignment horizontal="center"/>
    </xf>
    <xf numFmtId="166" fontId="3" fillId="0" borderId="0" xfId="0" applyNumberFormat="1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4" fontId="5" fillId="3" borderId="0" xfId="0" applyNumberFormat="1" applyFont="1" applyFill="1"/>
    <xf numFmtId="0" fontId="9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7" fillId="0" borderId="0" xfId="0" applyFont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 indent="1"/>
    </xf>
    <xf numFmtId="4" fontId="10" fillId="0" borderId="4" xfId="1" applyNumberFormat="1" applyFont="1" applyFill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4" fontId="10" fillId="3" borderId="4" xfId="1" applyNumberFormat="1" applyFont="1" applyFill="1" applyBorder="1" applyAlignment="1">
      <alignment vertical="center"/>
    </xf>
    <xf numFmtId="4" fontId="10" fillId="3" borderId="7" xfId="1" applyNumberFormat="1" applyFont="1" applyFill="1" applyBorder="1" applyAlignment="1">
      <alignment vertical="center"/>
    </xf>
    <xf numFmtId="4" fontId="10" fillId="0" borderId="7" xfId="1" applyNumberFormat="1" applyFont="1" applyBorder="1" applyAlignment="1">
      <alignment vertical="center"/>
    </xf>
    <xf numFmtId="4" fontId="11" fillId="0" borderId="4" xfId="0" applyNumberFormat="1" applyFont="1" applyBorder="1" applyAlignment="1">
      <alignment horizontal="center" vertical="center"/>
    </xf>
    <xf numFmtId="4" fontId="12" fillId="3" borderId="15" xfId="0" applyNumberFormat="1" applyFont="1" applyFill="1" applyBorder="1" applyAlignment="1">
      <alignment horizontal="center" vertical="center"/>
    </xf>
    <xf numFmtId="4" fontId="12" fillId="3" borderId="0" xfId="0" applyNumberFormat="1" applyFont="1" applyFill="1" applyAlignment="1">
      <alignment horizontal="center" vertical="center"/>
    </xf>
    <xf numFmtId="4" fontId="13" fillId="4" borderId="0" xfId="0" applyNumberFormat="1" applyFont="1" applyFill="1" applyAlignment="1">
      <alignment horizontal="right" vertical="center"/>
    </xf>
    <xf numFmtId="4" fontId="13" fillId="4" borderId="0" xfId="1" applyNumberFormat="1" applyFont="1" applyFill="1" applyBorder="1" applyAlignment="1">
      <alignment horizontal="right" vertical="center"/>
    </xf>
    <xf numFmtId="4" fontId="12" fillId="3" borderId="0" xfId="1" applyNumberFormat="1" applyFont="1" applyFill="1" applyBorder="1" applyAlignment="1">
      <alignment vertical="center"/>
    </xf>
    <xf numFmtId="0" fontId="12" fillId="3" borderId="0" xfId="1" applyNumberFormat="1" applyFont="1" applyFill="1" applyBorder="1" applyAlignment="1">
      <alignment vertical="center"/>
    </xf>
    <xf numFmtId="4" fontId="13" fillId="3" borderId="0" xfId="0" applyNumberFormat="1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1" fillId="0" borderId="5" xfId="0" applyFont="1" applyBorder="1" applyAlignment="1">
      <alignment vertical="center"/>
    </xf>
    <xf numFmtId="0" fontId="10" fillId="0" borderId="4" xfId="0" applyFont="1" applyBorder="1" applyAlignment="1">
      <alignment horizontal="left" vertical="center" indent="1"/>
    </xf>
    <xf numFmtId="4" fontId="11" fillId="3" borderId="4" xfId="0" applyNumberFormat="1" applyFont="1" applyFill="1" applyBorder="1" applyAlignment="1">
      <alignment horizontal="center" vertical="center"/>
    </xf>
    <xf numFmtId="4" fontId="10" fillId="2" borderId="4" xfId="1" applyNumberFormat="1" applyFont="1" applyFill="1" applyBorder="1" applyAlignment="1">
      <alignment vertical="center"/>
    </xf>
    <xf numFmtId="4" fontId="10" fillId="0" borderId="4" xfId="1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0" fontId="10" fillId="3" borderId="4" xfId="1" applyNumberFormat="1" applyFont="1" applyFill="1" applyBorder="1" applyAlignment="1">
      <alignment horizontal="left" vertical="center" indent="1"/>
    </xf>
    <xf numFmtId="0" fontId="11" fillId="0" borderId="4" xfId="0" applyFont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4" fontId="11" fillId="0" borderId="7" xfId="0" applyNumberFormat="1" applyFont="1" applyBorder="1" applyAlignment="1">
      <alignment horizontal="center" vertical="center"/>
    </xf>
    <xf numFmtId="0" fontId="10" fillId="0" borderId="4" xfId="1" applyNumberFormat="1" applyFont="1" applyFill="1" applyBorder="1" applyAlignment="1">
      <alignment horizontal="left" vertical="center" indent="1"/>
    </xf>
    <xf numFmtId="0" fontId="10" fillId="0" borderId="7" xfId="0" applyFont="1" applyBorder="1" applyAlignment="1">
      <alignment horizontal="center" vertical="top"/>
    </xf>
    <xf numFmtId="0" fontId="7" fillId="0" borderId="7" xfId="0" applyFont="1" applyBorder="1" applyAlignment="1">
      <alignment horizontal="left" vertical="center" indent="3"/>
    </xf>
    <xf numFmtId="43" fontId="11" fillId="2" borderId="7" xfId="1" applyFont="1" applyFill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43" fontId="12" fillId="2" borderId="7" xfId="1" applyFont="1" applyFill="1" applyBorder="1" applyAlignment="1">
      <alignment vertical="center"/>
    </xf>
    <xf numFmtId="43" fontId="10" fillId="3" borderId="7" xfId="1" applyFont="1" applyFill="1" applyBorder="1" applyAlignment="1">
      <alignment vertical="center"/>
    </xf>
    <xf numFmtId="43" fontId="14" fillId="3" borderId="7" xfId="1" applyFont="1" applyFill="1" applyBorder="1" applyAlignment="1">
      <alignment vertical="center"/>
    </xf>
    <xf numFmtId="43" fontId="15" fillId="3" borderId="7" xfId="1" applyFont="1" applyFill="1" applyBorder="1" applyAlignment="1">
      <alignment horizontal="center" vertical="center"/>
    </xf>
    <xf numFmtId="4" fontId="13" fillId="3" borderId="15" xfId="0" applyNumberFormat="1" applyFont="1" applyFill="1" applyBorder="1" applyAlignment="1">
      <alignment horizontal="center" vertical="center"/>
    </xf>
    <xf numFmtId="4" fontId="13" fillId="3" borderId="0" xfId="0" applyNumberFormat="1" applyFont="1" applyFill="1" applyAlignment="1">
      <alignment horizontal="center" vertical="center"/>
    </xf>
    <xf numFmtId="165" fontId="13" fillId="4" borderId="0" xfId="1" applyNumberFormat="1" applyFont="1" applyFill="1" applyBorder="1" applyAlignment="1">
      <alignment horizontal="right" vertical="center"/>
    </xf>
    <xf numFmtId="165" fontId="13" fillId="3" borderId="0" xfId="1" applyNumberFormat="1" applyFont="1" applyFill="1" applyBorder="1" applyAlignment="1">
      <alignment vertical="center"/>
    </xf>
    <xf numFmtId="165" fontId="12" fillId="3" borderId="0" xfId="1" applyNumberFormat="1" applyFont="1" applyFill="1" applyBorder="1" applyAlignment="1">
      <alignment vertical="center"/>
    </xf>
    <xf numFmtId="167" fontId="13" fillId="3" borderId="0" xfId="0" applyNumberFormat="1" applyFont="1" applyFill="1" applyAlignment="1">
      <alignment vertical="center"/>
    </xf>
    <xf numFmtId="0" fontId="10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3" fontId="10" fillId="2" borderId="10" xfId="1" applyFont="1" applyFill="1" applyBorder="1"/>
    <xf numFmtId="0" fontId="10" fillId="0" borderId="6" xfId="0" applyFont="1" applyBorder="1" applyAlignment="1">
      <alignment horizontal="center"/>
    </xf>
    <xf numFmtId="43" fontId="10" fillId="2" borderId="6" xfId="1" applyFont="1" applyFill="1" applyBorder="1"/>
    <xf numFmtId="43" fontId="10" fillId="0" borderId="6" xfId="1" applyFont="1" applyBorder="1" applyAlignment="1">
      <alignment horizontal="left"/>
    </xf>
    <xf numFmtId="43" fontId="10" fillId="0" borderId="6" xfId="1" applyFont="1" applyBorder="1"/>
    <xf numFmtId="43" fontId="10" fillId="0" borderId="11" xfId="1" applyFont="1" applyBorder="1"/>
    <xf numFmtId="0" fontId="14" fillId="3" borderId="15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165" fontId="14" fillId="3" borderId="0" xfId="1" applyNumberFormat="1" applyFont="1" applyFill="1" applyBorder="1"/>
    <xf numFmtId="167" fontId="14" fillId="3" borderId="0" xfId="0" applyNumberFormat="1" applyFont="1" applyFill="1"/>
    <xf numFmtId="0" fontId="14" fillId="3" borderId="0" xfId="0" applyFont="1" applyFill="1"/>
    <xf numFmtId="0" fontId="10" fillId="0" borderId="0" xfId="0" applyFont="1"/>
    <xf numFmtId="166" fontId="16" fillId="0" borderId="0" xfId="0" applyNumberFormat="1" applyFont="1" applyAlignment="1">
      <alignment horizontal="left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8" fontId="18" fillId="0" borderId="0" xfId="0" applyNumberFormat="1" applyFont="1" applyAlignment="1">
      <alignment horizontal="left" vertical="center"/>
    </xf>
    <xf numFmtId="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166" fontId="18" fillId="0" borderId="0" xfId="0" applyNumberFormat="1" applyFont="1" applyAlignment="1">
      <alignment vertical="center"/>
    </xf>
    <xf numFmtId="43" fontId="4" fillId="0" borderId="0" xfId="0" applyNumberFormat="1" applyFont="1" applyAlignment="1">
      <alignment vertical="center"/>
    </xf>
    <xf numFmtId="43" fontId="5" fillId="3" borderId="0" xfId="0" applyNumberFormat="1" applyFont="1" applyFill="1" applyAlignment="1">
      <alignment vertical="center"/>
    </xf>
    <xf numFmtId="166" fontId="4" fillId="0" borderId="0" xfId="0" applyNumberFormat="1" applyFont="1"/>
    <xf numFmtId="0" fontId="18" fillId="0" borderId="0" xfId="0" applyFont="1" applyAlignment="1">
      <alignment horizontal="left" vertical="center"/>
    </xf>
    <xf numFmtId="43" fontId="4" fillId="2" borderId="0" xfId="1" applyFont="1" applyFill="1" applyBorder="1"/>
    <xf numFmtId="43" fontId="4" fillId="0" borderId="0" xfId="1" applyFont="1" applyBorder="1"/>
    <xf numFmtId="165" fontId="5" fillId="3" borderId="0" xfId="1" applyNumberFormat="1" applyFont="1" applyFill="1" applyBorder="1"/>
    <xf numFmtId="167" fontId="5" fillId="3" borderId="0" xfId="0" applyNumberFormat="1" applyFont="1" applyFill="1"/>
    <xf numFmtId="43" fontId="3" fillId="0" borderId="0" xfId="1" applyFont="1" applyBorder="1" applyAlignment="1">
      <alignment horizontal="right"/>
    </xf>
    <xf numFmtId="43" fontId="3" fillId="0" borderId="0" xfId="1" applyFont="1" applyBorder="1" applyAlignment="1">
      <alignment horizontal="center" vertical="center"/>
    </xf>
    <xf numFmtId="43" fontId="9" fillId="0" borderId="0" xfId="1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6" fontId="19" fillId="0" borderId="0" xfId="0" applyNumberFormat="1" applyFont="1" applyAlignment="1">
      <alignment horizontal="left"/>
    </xf>
    <xf numFmtId="15" fontId="9" fillId="0" borderId="0" xfId="0" applyNumberFormat="1" applyFont="1" applyAlignment="1">
      <alignment horizontal="left" vertical="center" indent="7"/>
    </xf>
    <xf numFmtId="166" fontId="10" fillId="3" borderId="0" xfId="0" applyNumberFormat="1" applyFont="1" applyFill="1"/>
    <xf numFmtId="0" fontId="10" fillId="3" borderId="0" xfId="0" applyFont="1" applyFill="1"/>
    <xf numFmtId="0" fontId="4" fillId="3" borderId="0" xfId="0" applyFont="1" applyFill="1"/>
    <xf numFmtId="43" fontId="19" fillId="3" borderId="0" xfId="0" applyNumberFormat="1" applyFont="1" applyFill="1" applyAlignment="1">
      <alignment vertical="center"/>
    </xf>
    <xf numFmtId="168" fontId="3" fillId="3" borderId="0" xfId="0" quotePrefix="1" applyNumberFormat="1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166" fontId="11" fillId="3" borderId="0" xfId="0" applyNumberFormat="1" applyFont="1" applyFill="1"/>
    <xf numFmtId="0" fontId="4" fillId="3" borderId="0" xfId="0" applyFont="1" applyFill="1" applyAlignment="1">
      <alignment horizontal="center"/>
    </xf>
    <xf numFmtId="14" fontId="4" fillId="3" borderId="0" xfId="0" applyNumberFormat="1" applyFont="1" applyFill="1"/>
    <xf numFmtId="0" fontId="20" fillId="3" borderId="0" xfId="0" applyFont="1" applyFill="1" applyAlignment="1">
      <alignment horizontal="center" vertical="center"/>
    </xf>
    <xf numFmtId="0" fontId="20" fillId="3" borderId="0" xfId="0" applyFont="1" applyFill="1"/>
    <xf numFmtId="0" fontId="3" fillId="3" borderId="0" xfId="0" applyFont="1" applyFill="1" applyAlignment="1">
      <alignment horizontal="left"/>
    </xf>
    <xf numFmtId="4" fontId="5" fillId="3" borderId="0" xfId="0" applyNumberFormat="1" applyFont="1" applyFill="1" applyAlignment="1">
      <alignment vertical="center"/>
    </xf>
    <xf numFmtId="164" fontId="6" fillId="3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3" borderId="0" xfId="0" applyNumberFormat="1" applyFont="1" applyFill="1" applyAlignment="1">
      <alignment horizontal="center"/>
    </xf>
    <xf numFmtId="164" fontId="5" fillId="3" borderId="0" xfId="0" applyNumberFormat="1" applyFont="1" applyFill="1"/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43" fontId="21" fillId="0" borderId="0" xfId="1" applyFont="1" applyBorder="1"/>
    <xf numFmtId="0" fontId="21" fillId="0" borderId="0" xfId="0" applyFont="1" applyAlignment="1">
      <alignment horizontal="center"/>
    </xf>
    <xf numFmtId="0" fontId="4" fillId="2" borderId="0" xfId="0" applyFont="1" applyFill="1"/>
    <xf numFmtId="43" fontId="22" fillId="0" borderId="0" xfId="1" applyFont="1" applyBorder="1"/>
    <xf numFmtId="0" fontId="4" fillId="0" borderId="5" xfId="0" applyFont="1" applyBorder="1"/>
    <xf numFmtId="165" fontId="4" fillId="2" borderId="0" xfId="1" applyNumberFormat="1" applyFont="1" applyFill="1" applyBorder="1"/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quotePrefix="1" applyFont="1"/>
    <xf numFmtId="43" fontId="4" fillId="2" borderId="0" xfId="1" applyFont="1" applyFill="1" applyBorder="1" applyAlignment="1">
      <alignment horizontal="left"/>
    </xf>
    <xf numFmtId="0" fontId="11" fillId="0" borderId="0" xfId="0" applyFont="1"/>
    <xf numFmtId="166" fontId="11" fillId="0" borderId="0" xfId="0" applyNumberFormat="1" applyFont="1"/>
    <xf numFmtId="0" fontId="3" fillId="0" borderId="0" xfId="0" applyFont="1"/>
    <xf numFmtId="0" fontId="6" fillId="3" borderId="0" xfId="0" applyFont="1" applyFill="1"/>
    <xf numFmtId="0" fontId="8" fillId="3" borderId="0" xfId="0" applyFont="1" applyFill="1" applyAlignment="1">
      <alignment horizontal="left" vertical="center" indent="4"/>
    </xf>
    <xf numFmtId="166" fontId="7" fillId="0" borderId="0" xfId="0" applyNumberFormat="1" applyFont="1" applyAlignment="1">
      <alignment horizontal="left" vertical="center"/>
    </xf>
    <xf numFmtId="166" fontId="23" fillId="0" borderId="0" xfId="0" applyNumberFormat="1" applyFont="1" applyAlignment="1">
      <alignment horizontal="left" vertical="center"/>
    </xf>
    <xf numFmtId="0" fontId="19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top"/>
    </xf>
    <xf numFmtId="0" fontId="9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8" fillId="3" borderId="0" xfId="0" applyFont="1" applyFill="1" applyAlignment="1">
      <alignment horizontal="left" indent="4"/>
    </xf>
    <xf numFmtId="0" fontId="19" fillId="5" borderId="1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43" fontId="9" fillId="3" borderId="1" xfId="0" applyNumberFormat="1" applyFont="1" applyFill="1" applyBorder="1" applyAlignment="1">
      <alignment horizontal="center" vertical="center"/>
    </xf>
    <xf numFmtId="169" fontId="12" fillId="3" borderId="9" xfId="0" applyNumberFormat="1" applyFont="1" applyFill="1" applyBorder="1" applyAlignment="1">
      <alignment horizontal="center" vertical="center"/>
    </xf>
    <xf numFmtId="169" fontId="25" fillId="3" borderId="9" xfId="0" applyNumberFormat="1" applyFont="1" applyFill="1" applyBorder="1" applyAlignment="1">
      <alignment horizontal="center" vertical="center"/>
    </xf>
    <xf numFmtId="4" fontId="9" fillId="3" borderId="0" xfId="0" applyNumberFormat="1" applyFont="1" applyFill="1" applyAlignment="1">
      <alignment horizontal="right" vertical="center"/>
    </xf>
    <xf numFmtId="43" fontId="9" fillId="3" borderId="8" xfId="0" applyNumberFormat="1" applyFont="1" applyFill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14" fillId="3" borderId="0" xfId="0" applyFont="1" applyFill="1" applyAlignment="1">
      <alignment vertical="center"/>
    </xf>
    <xf numFmtId="0" fontId="10" fillId="0" borderId="5" xfId="0" applyFont="1" applyBorder="1" applyAlignment="1">
      <alignment vertical="center"/>
    </xf>
    <xf numFmtId="0" fontId="9" fillId="0" borderId="4" xfId="0" applyFont="1" applyBorder="1"/>
    <xf numFmtId="43" fontId="11" fillId="3" borderId="4" xfId="0" applyNumberFormat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 indent="1" shrinkToFit="1"/>
    </xf>
    <xf numFmtId="169" fontId="11" fillId="3" borderId="4" xfId="0" applyNumberFormat="1" applyFont="1" applyFill="1" applyBorder="1" applyAlignment="1">
      <alignment horizontal="center" vertical="center"/>
    </xf>
    <xf numFmtId="4" fontId="11" fillId="0" borderId="4" xfId="0" applyNumberFormat="1" applyFont="1" applyBorder="1" applyAlignment="1">
      <alignment horizontal="center"/>
    </xf>
    <xf numFmtId="4" fontId="10" fillId="3" borderId="4" xfId="1" applyNumberFormat="1" applyFont="1" applyFill="1" applyBorder="1" applyAlignment="1">
      <alignment horizontal="right" vertical="center"/>
    </xf>
    <xf numFmtId="0" fontId="9" fillId="0" borderId="4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left" vertical="center" indent="25"/>
    </xf>
    <xf numFmtId="2" fontId="7" fillId="3" borderId="4" xfId="0" applyNumberFormat="1" applyFont="1" applyFill="1" applyBorder="1" applyAlignment="1">
      <alignment horizontal="left" vertical="center" indent="25"/>
    </xf>
    <xf numFmtId="0" fontId="7" fillId="3" borderId="4" xfId="0" applyFont="1" applyFill="1" applyBorder="1" applyAlignment="1">
      <alignment horizontal="left" vertical="center" indent="25"/>
    </xf>
    <xf numFmtId="43" fontId="19" fillId="3" borderId="4" xfId="1" applyFont="1" applyFill="1" applyBorder="1" applyAlignment="1">
      <alignment horizontal="left"/>
    </xf>
    <xf numFmtId="43" fontId="19" fillId="3" borderId="4" xfId="1" applyFont="1" applyFill="1" applyBorder="1"/>
    <xf numFmtId="0" fontId="10" fillId="3" borderId="17" xfId="0" applyFont="1" applyFill="1" applyBorder="1" applyAlignment="1">
      <alignment horizontal="left" vertical="center"/>
    </xf>
    <xf numFmtId="2" fontId="10" fillId="3" borderId="7" xfId="0" applyNumberFormat="1" applyFont="1" applyFill="1" applyBorder="1" applyAlignment="1">
      <alignment horizontal="left" vertical="center"/>
    </xf>
    <xf numFmtId="0" fontId="10" fillId="3" borderId="7" xfId="0" applyFont="1" applyFill="1" applyBorder="1" applyAlignment="1">
      <alignment horizontal="left" vertical="center"/>
    </xf>
    <xf numFmtId="43" fontId="10" fillId="3" borderId="7" xfId="1" applyFont="1" applyFill="1" applyBorder="1" applyAlignment="1">
      <alignment horizontal="left"/>
    </xf>
    <xf numFmtId="4" fontId="10" fillId="3" borderId="7" xfId="1" applyNumberFormat="1" applyFont="1" applyFill="1" applyBorder="1" applyAlignment="1">
      <alignment horizontal="right"/>
    </xf>
    <xf numFmtId="2" fontId="10" fillId="3" borderId="4" xfId="0" applyNumberFormat="1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4" fontId="10" fillId="0" borderId="4" xfId="0" applyNumberFormat="1" applyFont="1" applyBorder="1" applyAlignment="1">
      <alignment horizontal="left" vertical="center"/>
    </xf>
    <xf numFmtId="4" fontId="10" fillId="0" borderId="4" xfId="0" applyNumberFormat="1" applyFont="1" applyBorder="1" applyAlignment="1">
      <alignment horizontal="right" vertical="center"/>
    </xf>
    <xf numFmtId="0" fontId="7" fillId="3" borderId="17" xfId="0" applyFont="1" applyFill="1" applyBorder="1" applyAlignment="1">
      <alignment horizontal="left" vertical="center" indent="34"/>
    </xf>
    <xf numFmtId="2" fontId="7" fillId="3" borderId="7" xfId="0" applyNumberFormat="1" applyFont="1" applyFill="1" applyBorder="1" applyAlignment="1">
      <alignment horizontal="left" vertical="center" indent="34"/>
    </xf>
    <xf numFmtId="0" fontId="7" fillId="3" borderId="7" xfId="0" applyFont="1" applyFill="1" applyBorder="1" applyAlignment="1">
      <alignment horizontal="left" vertical="center" indent="34"/>
    </xf>
    <xf numFmtId="43" fontId="19" fillId="3" borderId="7" xfId="1" applyFont="1" applyFill="1" applyBorder="1" applyAlignment="1">
      <alignment horizontal="left"/>
    </xf>
    <xf numFmtId="43" fontId="19" fillId="3" borderId="7" xfId="1" applyFont="1" applyFill="1" applyBorder="1"/>
    <xf numFmtId="0" fontId="10" fillId="3" borderId="17" xfId="0" applyFont="1" applyFill="1" applyBorder="1" applyAlignment="1">
      <alignment horizontal="left" vertical="center" indent="1"/>
    </xf>
    <xf numFmtId="2" fontId="10" fillId="3" borderId="4" xfId="0" applyNumberFormat="1" applyFont="1" applyFill="1" applyBorder="1" applyAlignment="1">
      <alignment horizontal="left" vertical="center" indent="1"/>
    </xf>
    <xf numFmtId="0" fontId="4" fillId="0" borderId="4" xfId="0" applyFont="1" applyBorder="1" applyAlignment="1">
      <alignment horizontal="left"/>
    </xf>
    <xf numFmtId="0" fontId="4" fillId="0" borderId="4" xfId="0" applyFont="1" applyBorder="1"/>
    <xf numFmtId="0" fontId="19" fillId="0" borderId="0" xfId="0" applyFont="1" applyAlignment="1">
      <alignment vertical="center"/>
    </xf>
    <xf numFmtId="0" fontId="19" fillId="0" borderId="12" xfId="0" applyFont="1" applyBorder="1" applyAlignment="1">
      <alignment horizontal="left" vertical="center" indent="15"/>
    </xf>
    <xf numFmtId="0" fontId="19" fillId="0" borderId="12" xfId="0" applyFont="1" applyBorder="1" applyAlignment="1">
      <alignment horizontal="left" vertical="center" indent="12"/>
    </xf>
    <xf numFmtId="0" fontId="19" fillId="0" borderId="17" xfId="0" applyFont="1" applyBorder="1" applyAlignment="1">
      <alignment vertical="center"/>
    </xf>
    <xf numFmtId="0" fontId="19" fillId="0" borderId="4" xfId="0" applyFont="1" applyBorder="1" applyAlignment="1">
      <alignment horizontal="left" vertical="center" indent="32"/>
    </xf>
    <xf numFmtId="0" fontId="19" fillId="0" borderId="4" xfId="0" applyFont="1" applyBorder="1" applyAlignment="1">
      <alignment horizontal="left" vertical="center" indent="29"/>
    </xf>
    <xf numFmtId="4" fontId="9" fillId="3" borderId="4" xfId="0" applyNumberFormat="1" applyFont="1" applyFill="1" applyBorder="1" applyAlignment="1">
      <alignment horizontal="right" vertical="center"/>
    </xf>
    <xf numFmtId="0" fontId="19" fillId="0" borderId="4" xfId="0" applyFont="1" applyBorder="1" applyAlignment="1">
      <alignment horizontal="left" indent="9"/>
    </xf>
    <xf numFmtId="0" fontId="19" fillId="0" borderId="4" xfId="0" applyFont="1" applyBorder="1" applyAlignment="1">
      <alignment horizontal="left" indent="6"/>
    </xf>
    <xf numFmtId="43" fontId="10" fillId="3" borderId="4" xfId="1" applyFont="1" applyFill="1" applyBorder="1" applyAlignment="1">
      <alignment horizontal="left"/>
    </xf>
    <xf numFmtId="43" fontId="9" fillId="3" borderId="4" xfId="1" applyFont="1" applyFill="1" applyBorder="1" applyAlignment="1">
      <alignment vertical="center"/>
    </xf>
    <xf numFmtId="0" fontId="19" fillId="0" borderId="0" xfId="0" applyFont="1" applyAlignment="1">
      <alignment horizontal="left" indent="6"/>
    </xf>
    <xf numFmtId="0" fontId="19" fillId="0" borderId="12" xfId="0" applyFont="1" applyBorder="1" applyAlignment="1">
      <alignment horizontal="left" indent="6"/>
    </xf>
    <xf numFmtId="0" fontId="19" fillId="0" borderId="17" xfId="0" applyFont="1" applyBorder="1" applyAlignment="1">
      <alignment horizontal="left" vertical="center" indent="12"/>
    </xf>
    <xf numFmtId="0" fontId="10" fillId="0" borderId="4" xfId="0" applyFont="1" applyBorder="1" applyAlignment="1">
      <alignment horizontal="center"/>
    </xf>
    <xf numFmtId="1" fontId="10" fillId="0" borderId="6" xfId="0" applyNumberFormat="1" applyFont="1" applyBorder="1" applyAlignment="1">
      <alignment horizontal="center"/>
    </xf>
    <xf numFmtId="0" fontId="10" fillId="0" borderId="10" xfId="0" applyFont="1" applyBorder="1"/>
    <xf numFmtId="0" fontId="10" fillId="0" borderId="6" xfId="0" applyFont="1" applyBorder="1"/>
    <xf numFmtId="43" fontId="4" fillId="0" borderId="0" xfId="1" applyFont="1" applyBorder="1" applyAlignment="1">
      <alignment horizontal="left"/>
    </xf>
    <xf numFmtId="43" fontId="7" fillId="0" borderId="0" xfId="1" applyFont="1" applyBorder="1" applyAlignment="1">
      <alignment horizontal="left" vertical="center"/>
    </xf>
    <xf numFmtId="43" fontId="9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vertical="center"/>
    </xf>
    <xf numFmtId="166" fontId="10" fillId="0" borderId="0" xfId="0" applyNumberFormat="1" applyFont="1"/>
    <xf numFmtId="0" fontId="10" fillId="0" borderId="0" xfId="0" applyFont="1" applyAlignment="1">
      <alignment horizontal="left" indent="1"/>
    </xf>
    <xf numFmtId="1" fontId="26" fillId="3" borderId="0" xfId="0" applyNumberFormat="1" applyFont="1" applyFill="1" applyAlignment="1">
      <alignment horizontal="left" vertical="center" indent="11"/>
    </xf>
    <xf numFmtId="4" fontId="4" fillId="0" borderId="0" xfId="0" applyNumberFormat="1" applyFont="1"/>
    <xf numFmtId="0" fontId="3" fillId="0" borderId="0" xfId="0" applyFont="1" applyAlignment="1">
      <alignment horizontal="center" vertical="center"/>
    </xf>
    <xf numFmtId="43" fontId="21" fillId="0" borderId="0" xfId="1" applyFont="1" applyBorder="1" applyAlignment="1">
      <alignment horizontal="left"/>
    </xf>
    <xf numFmtId="43" fontId="22" fillId="0" borderId="0" xfId="1" applyFont="1" applyBorder="1" applyAlignment="1">
      <alignment horizontal="left"/>
    </xf>
    <xf numFmtId="0" fontId="6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166" fontId="7" fillId="5" borderId="1" xfId="0" applyNumberFormat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shrinkToFit="1"/>
    </xf>
    <xf numFmtId="0" fontId="7" fillId="5" borderId="3" xfId="0" applyFont="1" applyFill="1" applyBorder="1" applyAlignment="1">
      <alignment horizontal="center" vertical="center" shrinkToFit="1"/>
    </xf>
  </cellXfs>
  <cellStyles count="3">
    <cellStyle name="Comma" xfId="1" builtinId="3"/>
    <cellStyle name="Normal" xfId="0" builtinId="0"/>
    <cellStyle name="Normal 2 2" xfId="2" xr:uid="{2E97CABF-E177-4582-8528-C22BE66BE36F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1</xdr:row>
      <xdr:rowOff>0</xdr:rowOff>
    </xdr:from>
    <xdr:to>
      <xdr:col>5</xdr:col>
      <xdr:colOff>333375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8625" y="0"/>
          <a:ext cx="25717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104775</xdr:colOff>
      <xdr:row>1</xdr:row>
      <xdr:rowOff>0</xdr:rowOff>
    </xdr:from>
    <xdr:to>
      <xdr:col>5</xdr:col>
      <xdr:colOff>333375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8625" y="0"/>
          <a:ext cx="25717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104775</xdr:colOff>
      <xdr:row>1</xdr:row>
      <xdr:rowOff>0</xdr:rowOff>
    </xdr:from>
    <xdr:to>
      <xdr:col>5</xdr:col>
      <xdr:colOff>333375</xdr:colOff>
      <xdr:row>1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8625" y="0"/>
          <a:ext cx="25717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104775</xdr:colOff>
      <xdr:row>1</xdr:row>
      <xdr:rowOff>0</xdr:rowOff>
    </xdr:from>
    <xdr:to>
      <xdr:col>5</xdr:col>
      <xdr:colOff>333375</xdr:colOff>
      <xdr:row>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8625" y="0"/>
          <a:ext cx="25717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104775</xdr:colOff>
      <xdr:row>1</xdr:row>
      <xdr:rowOff>0</xdr:rowOff>
    </xdr:from>
    <xdr:to>
      <xdr:col>5</xdr:col>
      <xdr:colOff>333375</xdr:colOff>
      <xdr:row>1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8625" y="0"/>
          <a:ext cx="25717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104775</xdr:colOff>
      <xdr:row>1</xdr:row>
      <xdr:rowOff>0</xdr:rowOff>
    </xdr:from>
    <xdr:to>
      <xdr:col>5</xdr:col>
      <xdr:colOff>333375</xdr:colOff>
      <xdr:row>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8625" y="0"/>
          <a:ext cx="25717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104775</xdr:colOff>
      <xdr:row>1</xdr:row>
      <xdr:rowOff>0</xdr:rowOff>
    </xdr:from>
    <xdr:to>
      <xdr:col>5</xdr:col>
      <xdr:colOff>333375</xdr:colOff>
      <xdr:row>1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8625" y="0"/>
          <a:ext cx="25717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104775</xdr:colOff>
      <xdr:row>1</xdr:row>
      <xdr:rowOff>0</xdr:rowOff>
    </xdr:from>
    <xdr:to>
      <xdr:col>5</xdr:col>
      <xdr:colOff>333375</xdr:colOff>
      <xdr:row>1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8625" y="0"/>
          <a:ext cx="25717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4124665</xdr:colOff>
      <xdr:row>0</xdr:row>
      <xdr:rowOff>204107</xdr:rowOff>
    </xdr:from>
    <xdr:to>
      <xdr:col>5</xdr:col>
      <xdr:colOff>218119</xdr:colOff>
      <xdr:row>4</xdr:row>
      <xdr:rowOff>2473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3B85424-DDE1-435E-8B96-98BF01F85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3906" y="204107"/>
          <a:ext cx="2905530" cy="6573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3514724</xdr:colOff>
      <xdr:row>0</xdr:row>
      <xdr:rowOff>9525</xdr:rowOff>
    </xdr:from>
    <xdr:to>
      <xdr:col>4</xdr:col>
      <xdr:colOff>438554</xdr:colOff>
      <xdr:row>3</xdr:row>
      <xdr:rowOff>104867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F129F3A-CE86-4333-99B7-F63E6B3D3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1924" y="9525"/>
          <a:ext cx="2905530" cy="6573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zoomScaleNormal="14" zoomScaleSheetLayoutView="6" workbookViewId="0"/>
  </sheetViews>
  <sheetFormatPr defaultRowHeight="19.8" x14ac:dyDescent="0.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showGridLines="0" showRowColHeaders="0" showZeros="0" showOutlineSymbols="0" topLeftCell="B5378" zoomScaleNormal="14" zoomScaleSheetLayoutView="6" workbookViewId="0"/>
  </sheetViews>
  <sheetFormatPr defaultRowHeight="19.8" x14ac:dyDescent="0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2:JF132"/>
  <sheetViews>
    <sheetView zoomScale="112" zoomScaleNormal="112" zoomScaleSheetLayoutView="75" workbookViewId="0">
      <pane xSplit="2" ySplit="11" topLeftCell="C51" activePane="bottomRight" state="frozen"/>
      <selection pane="topRight" activeCell="C1" sqref="C1"/>
      <selection pane="bottomLeft" activeCell="A9" sqref="A9"/>
      <selection pane="bottomRight" activeCell="C8" sqref="C8"/>
    </sheetView>
  </sheetViews>
  <sheetFormatPr defaultColWidth="9.375" defaultRowHeight="23.1" customHeight="1" x14ac:dyDescent="0.6"/>
  <cols>
    <col min="1" max="1" width="8" style="94" customWidth="1"/>
    <col min="2" max="2" width="85.625" style="2" bestFit="1" customWidth="1"/>
    <col min="3" max="3" width="12.875" style="2" customWidth="1"/>
    <col min="4" max="4" width="6.875" style="2" customWidth="1"/>
    <col min="5" max="5" width="13.875" style="2" customWidth="1"/>
    <col min="6" max="6" width="15.875" style="2" customWidth="1"/>
    <col min="7" max="7" width="13.875" style="2" customWidth="1"/>
    <col min="8" max="8" width="15.875" style="2" customWidth="1"/>
    <col min="9" max="9" width="18.625" style="2" customWidth="1"/>
    <col min="10" max="10" width="26.875" style="2" customWidth="1"/>
    <col min="11" max="16" width="18.5" style="3" customWidth="1"/>
    <col min="17" max="18" width="14.375" style="3" customWidth="1"/>
    <col min="19" max="19" width="14.5" style="3" bestFit="1" customWidth="1"/>
    <col min="20" max="20" width="13.875" style="3" customWidth="1"/>
    <col min="21" max="21" width="19" style="3" customWidth="1"/>
    <col min="22" max="22" width="13.875" style="3" customWidth="1"/>
    <col min="23" max="23" width="13" style="3" customWidth="1"/>
    <col min="24" max="24" width="15" style="3" customWidth="1"/>
    <col min="25" max="26" width="9.375" style="3"/>
    <col min="27" max="16384" width="9.375" style="2"/>
  </cols>
  <sheetData>
    <row r="2" spans="1:266" ht="15.9" customHeight="1" x14ac:dyDescent="0.6">
      <c r="A2" s="1"/>
      <c r="Q2" s="4"/>
      <c r="R2" s="4"/>
      <c r="S2" s="4"/>
      <c r="T2" s="4"/>
    </row>
    <row r="3" spans="1:266" ht="15.9" customHeight="1" x14ac:dyDescent="0.6">
      <c r="A3" s="2"/>
      <c r="E3" s="5"/>
      <c r="H3" s="6"/>
      <c r="I3" s="7"/>
      <c r="K3" s="8"/>
      <c r="M3" s="8"/>
      <c r="N3" s="8"/>
      <c r="O3" s="8"/>
      <c r="P3" s="8"/>
    </row>
    <row r="4" spans="1:266" ht="12.9" customHeight="1" x14ac:dyDescent="0.6">
      <c r="A4" s="218" t="s">
        <v>39</v>
      </c>
      <c r="B4" s="218"/>
      <c r="C4" s="218"/>
      <c r="D4" s="218"/>
      <c r="E4" s="218"/>
      <c r="F4" s="218"/>
      <c r="G4" s="218"/>
      <c r="H4" s="218"/>
      <c r="I4" s="218"/>
      <c r="J4" s="218"/>
      <c r="K4" s="8"/>
      <c r="M4" s="8"/>
      <c r="N4" s="8"/>
      <c r="O4" s="8"/>
      <c r="P4" s="8"/>
    </row>
    <row r="5" spans="1:266" ht="18" customHeight="1" x14ac:dyDescent="0.6">
      <c r="A5" s="9"/>
      <c r="B5" s="10"/>
      <c r="E5" s="5"/>
      <c r="H5" s="6"/>
      <c r="I5" s="6"/>
      <c r="J5" s="11" t="s">
        <v>3</v>
      </c>
      <c r="K5" s="8"/>
      <c r="M5" s="8"/>
      <c r="N5" s="8"/>
      <c r="O5" s="8"/>
      <c r="P5" s="8"/>
      <c r="Q5" s="12"/>
      <c r="R5" s="12"/>
    </row>
    <row r="6" spans="1:266" ht="18" customHeight="1" x14ac:dyDescent="0.6">
      <c r="A6" s="9" t="s">
        <v>36</v>
      </c>
      <c r="B6" s="10"/>
      <c r="E6" s="5"/>
      <c r="H6" s="6"/>
      <c r="I6" s="6"/>
      <c r="J6" s="11" t="s">
        <v>24</v>
      </c>
      <c r="K6" s="8"/>
      <c r="M6" s="8"/>
      <c r="N6" s="8"/>
      <c r="O6" s="8"/>
      <c r="P6" s="8"/>
      <c r="Q6" s="12"/>
      <c r="R6" s="12"/>
    </row>
    <row r="7" spans="1:266" ht="18" customHeight="1" x14ac:dyDescent="0.6">
      <c r="A7" s="9" t="s">
        <v>67</v>
      </c>
      <c r="B7" s="10"/>
      <c r="E7" s="5"/>
      <c r="H7" s="6"/>
      <c r="I7" s="6"/>
      <c r="J7" s="11"/>
      <c r="K7" s="8"/>
      <c r="M7" s="8"/>
      <c r="N7" s="8"/>
      <c r="O7" s="8"/>
      <c r="P7" s="8"/>
      <c r="Q7" s="12"/>
      <c r="R7" s="12"/>
    </row>
    <row r="8" spans="1:266" ht="18" customHeight="1" x14ac:dyDescent="0.6">
      <c r="A8" s="9" t="s">
        <v>37</v>
      </c>
      <c r="B8" s="13"/>
      <c r="C8" s="14" t="s">
        <v>70</v>
      </c>
      <c r="E8" s="5"/>
      <c r="J8" s="15"/>
      <c r="K8" s="16"/>
      <c r="M8" s="16"/>
      <c r="N8" s="16"/>
      <c r="O8" s="16"/>
      <c r="P8" s="16"/>
    </row>
    <row r="9" spans="1:266" ht="18" customHeight="1" x14ac:dyDescent="0.6">
      <c r="A9" s="17" t="s">
        <v>78</v>
      </c>
      <c r="B9" s="17" t="s">
        <v>91</v>
      </c>
      <c r="C9" s="18" t="s">
        <v>22</v>
      </c>
      <c r="D9" s="19" t="s">
        <v>69</v>
      </c>
      <c r="E9" s="5"/>
      <c r="I9" s="20" t="s">
        <v>41</v>
      </c>
      <c r="K9" s="8"/>
      <c r="L9" s="8"/>
      <c r="M9" s="8"/>
      <c r="N9" s="8"/>
      <c r="O9" s="8"/>
      <c r="P9" s="8"/>
    </row>
    <row r="10" spans="1:266" ht="18" customHeight="1" x14ac:dyDescent="0.6">
      <c r="A10" s="222" t="s">
        <v>4</v>
      </c>
      <c r="B10" s="224" t="s">
        <v>6</v>
      </c>
      <c r="C10" s="224" t="s">
        <v>14</v>
      </c>
      <c r="D10" s="224" t="s">
        <v>0</v>
      </c>
      <c r="E10" s="225" t="s">
        <v>79</v>
      </c>
      <c r="F10" s="226"/>
      <c r="G10" s="225" t="s">
        <v>80</v>
      </c>
      <c r="H10" s="226"/>
      <c r="I10" s="21" t="s">
        <v>7</v>
      </c>
      <c r="J10" s="224" t="s">
        <v>1</v>
      </c>
      <c r="K10" s="219" t="s">
        <v>9</v>
      </c>
      <c r="L10" s="217" t="s">
        <v>10</v>
      </c>
      <c r="M10" s="217" t="s">
        <v>9</v>
      </c>
      <c r="N10" s="217" t="s">
        <v>15</v>
      </c>
      <c r="O10" s="217" t="s">
        <v>10</v>
      </c>
      <c r="P10" s="217" t="s">
        <v>15</v>
      </c>
      <c r="Q10" s="217" t="s">
        <v>11</v>
      </c>
      <c r="R10" s="217" t="s">
        <v>27</v>
      </c>
      <c r="S10" s="217" t="s">
        <v>12</v>
      </c>
      <c r="T10" s="217" t="s">
        <v>8</v>
      </c>
      <c r="U10" s="217" t="s">
        <v>13</v>
      </c>
      <c r="V10" s="217" t="s">
        <v>2</v>
      </c>
    </row>
    <row r="11" spans="1:266" ht="18" customHeight="1" x14ac:dyDescent="0.6">
      <c r="A11" s="223"/>
      <c r="B11" s="223"/>
      <c r="C11" s="223"/>
      <c r="D11" s="223"/>
      <c r="E11" s="22" t="s">
        <v>18</v>
      </c>
      <c r="F11" s="22" t="s">
        <v>19</v>
      </c>
      <c r="G11" s="22" t="s">
        <v>18</v>
      </c>
      <c r="H11" s="22" t="s">
        <v>19</v>
      </c>
      <c r="I11" s="23" t="s">
        <v>28</v>
      </c>
      <c r="J11" s="223"/>
      <c r="K11" s="219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</row>
    <row r="12" spans="1:266" s="41" customFormat="1" ht="14.1" customHeight="1" x14ac:dyDescent="0.5">
      <c r="A12" s="24">
        <v>1</v>
      </c>
      <c r="B12" s="25" t="s">
        <v>71</v>
      </c>
      <c r="C12" s="26">
        <v>229</v>
      </c>
      <c r="D12" s="27" t="s">
        <v>44</v>
      </c>
      <c r="E12" s="28">
        <v>401</v>
      </c>
      <c r="F12" s="29">
        <f t="shared" ref="F12:F29" si="0">ROUND((C12*E12),0)</f>
        <v>91829</v>
      </c>
      <c r="G12" s="28">
        <v>113</v>
      </c>
      <c r="H12" s="30">
        <f t="shared" ref="H12:H29" si="1">ROUND((C12*G12),0)</f>
        <v>25877</v>
      </c>
      <c r="I12" s="30">
        <f t="shared" ref="I12:I16" si="2">ROUND((F12+H12),0)</f>
        <v>117706</v>
      </c>
      <c r="J12" s="31"/>
      <c r="K12" s="32"/>
      <c r="L12" s="33"/>
      <c r="M12" s="34"/>
      <c r="N12" s="34"/>
      <c r="O12" s="34"/>
      <c r="P12" s="34"/>
      <c r="Q12" s="35"/>
      <c r="R12" s="35"/>
      <c r="S12" s="36"/>
      <c r="T12" s="37"/>
      <c r="U12" s="36"/>
      <c r="V12" s="38"/>
      <c r="W12" s="39"/>
      <c r="X12" s="39"/>
      <c r="Y12" s="39"/>
      <c r="Z12" s="39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  <c r="FN12" s="40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  <c r="GG12" s="40"/>
      <c r="GH12" s="40"/>
      <c r="GI12" s="40"/>
      <c r="GJ12" s="40"/>
      <c r="GK12" s="40"/>
      <c r="GL12" s="40"/>
      <c r="GM12" s="40"/>
      <c r="GN12" s="40"/>
      <c r="GO12" s="40"/>
      <c r="GP12" s="40"/>
      <c r="GQ12" s="40"/>
      <c r="GR12" s="40"/>
      <c r="GS12" s="40"/>
      <c r="GT12" s="40"/>
      <c r="GU12" s="40"/>
      <c r="GV12" s="40"/>
      <c r="GW12" s="40"/>
      <c r="GX12" s="40"/>
      <c r="GY12" s="40"/>
      <c r="GZ12" s="40"/>
      <c r="HA12" s="40"/>
      <c r="HB12" s="40"/>
      <c r="HC12" s="40"/>
      <c r="HD12" s="40"/>
      <c r="HE12" s="40"/>
      <c r="HF12" s="40"/>
      <c r="HG12" s="40"/>
      <c r="HH12" s="40"/>
      <c r="HI12" s="40"/>
      <c r="HJ12" s="40"/>
      <c r="HK12" s="40"/>
      <c r="HL12" s="40"/>
      <c r="HM12" s="40"/>
      <c r="HN12" s="40"/>
      <c r="HO12" s="40"/>
      <c r="HP12" s="40"/>
      <c r="HQ12" s="40"/>
      <c r="HR12" s="40"/>
      <c r="HS12" s="40"/>
      <c r="HT12" s="40"/>
      <c r="HU12" s="40"/>
      <c r="HV12" s="40"/>
      <c r="HW12" s="40"/>
      <c r="HX12" s="40"/>
      <c r="HY12" s="40"/>
      <c r="HZ12" s="40"/>
      <c r="IA12" s="40"/>
      <c r="IB12" s="40"/>
      <c r="IC12" s="40"/>
      <c r="ID12" s="40"/>
      <c r="IE12" s="40"/>
      <c r="IF12" s="40"/>
      <c r="IG12" s="40"/>
      <c r="IH12" s="40"/>
      <c r="II12" s="40"/>
      <c r="IJ12" s="40"/>
      <c r="IK12" s="40"/>
      <c r="IL12" s="40"/>
      <c r="IM12" s="40"/>
      <c r="IN12" s="40"/>
      <c r="IO12" s="40"/>
      <c r="IP12" s="40"/>
      <c r="IQ12" s="40"/>
      <c r="IR12" s="40"/>
      <c r="IS12" s="40"/>
      <c r="IT12" s="40"/>
      <c r="IU12" s="40"/>
      <c r="IV12" s="40"/>
      <c r="IW12" s="40"/>
      <c r="IX12" s="40"/>
      <c r="IY12" s="40"/>
      <c r="IZ12" s="40"/>
      <c r="JA12" s="40"/>
      <c r="JB12" s="40"/>
      <c r="JC12" s="40"/>
      <c r="JD12" s="40"/>
      <c r="JE12" s="40"/>
      <c r="JF12" s="40"/>
    </row>
    <row r="13" spans="1:266" s="41" customFormat="1" ht="14.1" customHeight="1" x14ac:dyDescent="0.5">
      <c r="A13" s="24">
        <v>2</v>
      </c>
      <c r="B13" s="25" t="s">
        <v>53</v>
      </c>
      <c r="C13" s="26">
        <v>3720</v>
      </c>
      <c r="D13" s="27" t="s">
        <v>44</v>
      </c>
      <c r="E13" s="28">
        <v>450</v>
      </c>
      <c r="F13" s="29">
        <f t="shared" ref="F13" si="3">ROUND((C13*E13),0)</f>
        <v>1674000</v>
      </c>
      <c r="G13" s="28">
        <v>127</v>
      </c>
      <c r="H13" s="30">
        <f t="shared" ref="H13" si="4">ROUND((C13*G13),0)</f>
        <v>472440</v>
      </c>
      <c r="I13" s="30">
        <f t="shared" ref="I13" si="5">ROUND((F13+H13),0)</f>
        <v>2146440</v>
      </c>
      <c r="J13" s="31"/>
      <c r="K13" s="32"/>
      <c r="L13" s="33"/>
      <c r="M13" s="34"/>
      <c r="N13" s="34"/>
      <c r="O13" s="34"/>
      <c r="P13" s="34"/>
      <c r="Q13" s="35"/>
      <c r="R13" s="35"/>
      <c r="S13" s="36"/>
      <c r="T13" s="37"/>
      <c r="U13" s="36"/>
      <c r="V13" s="38"/>
      <c r="W13" s="39"/>
      <c r="X13" s="39"/>
      <c r="Y13" s="39"/>
      <c r="Z13" s="39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</row>
    <row r="14" spans="1:266" s="41" customFormat="1" ht="14.1" customHeight="1" x14ac:dyDescent="0.5">
      <c r="A14" s="24">
        <v>3</v>
      </c>
      <c r="B14" s="42" t="s">
        <v>85</v>
      </c>
      <c r="C14" s="26">
        <v>4997</v>
      </c>
      <c r="D14" s="27" t="s">
        <v>44</v>
      </c>
      <c r="E14" s="28">
        <v>569</v>
      </c>
      <c r="F14" s="29">
        <f t="shared" si="0"/>
        <v>2843293</v>
      </c>
      <c r="G14" s="28">
        <v>161</v>
      </c>
      <c r="H14" s="30">
        <f t="shared" si="1"/>
        <v>804517</v>
      </c>
      <c r="I14" s="30">
        <f t="shared" si="2"/>
        <v>3647810</v>
      </c>
      <c r="J14" s="43"/>
      <c r="K14" s="32">
        <f t="shared" ref="K14:K31" si="6">N14*C14</f>
        <v>0</v>
      </c>
      <c r="L14" s="33">
        <f t="shared" ref="L14:L31" si="7">P14*C14</f>
        <v>0</v>
      </c>
      <c r="M14" s="34"/>
      <c r="N14" s="34"/>
      <c r="O14" s="34"/>
      <c r="P14" s="34"/>
      <c r="Q14" s="35">
        <f t="shared" ref="Q14:Q23" si="8">N14+P14</f>
        <v>0</v>
      </c>
      <c r="R14" s="35"/>
      <c r="S14" s="36">
        <f t="shared" ref="S14:S31" si="9">ROUND((C14*Q14),2)</f>
        <v>0</v>
      </c>
      <c r="T14" s="37" t="e">
        <f>#REF!</f>
        <v>#REF!</v>
      </c>
      <c r="U14" s="36" t="e">
        <f t="shared" ref="U14:U23" si="10">ROUND((Q14*T14),0)</f>
        <v>#REF!</v>
      </c>
      <c r="V14" s="38" t="e">
        <f t="shared" ref="V14:V31" si="11">ROUND((S14*T14),0)</f>
        <v>#REF!</v>
      </c>
      <c r="W14" s="39"/>
      <c r="X14" s="39"/>
      <c r="Y14" s="39"/>
      <c r="Z14" s="39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  <c r="IL14" s="40"/>
      <c r="IM14" s="40"/>
      <c r="IN14" s="40"/>
      <c r="IO14" s="40"/>
      <c r="IP14" s="40"/>
      <c r="IQ14" s="40"/>
      <c r="IR14" s="40"/>
      <c r="IS14" s="40"/>
      <c r="IT14" s="40"/>
      <c r="IU14" s="40"/>
      <c r="IV14" s="40"/>
      <c r="IW14" s="40"/>
      <c r="IX14" s="40"/>
      <c r="IY14" s="40"/>
      <c r="IZ14" s="40"/>
      <c r="JA14" s="40"/>
      <c r="JB14" s="40"/>
      <c r="JC14" s="40"/>
      <c r="JD14" s="40"/>
      <c r="JE14" s="40"/>
      <c r="JF14" s="40"/>
    </row>
    <row r="15" spans="1:266" s="40" customFormat="1" ht="14.1" customHeight="1" x14ac:dyDescent="0.5">
      <c r="A15" s="24">
        <v>4</v>
      </c>
      <c r="B15" s="42" t="s">
        <v>87</v>
      </c>
      <c r="C15" s="26">
        <v>2429</v>
      </c>
      <c r="D15" s="27" t="s">
        <v>44</v>
      </c>
      <c r="E15" s="28">
        <v>569</v>
      </c>
      <c r="F15" s="29">
        <f t="shared" ref="F15" si="12">ROUND((C15*E15),0)</f>
        <v>1382101</v>
      </c>
      <c r="G15" s="28">
        <v>161</v>
      </c>
      <c r="H15" s="30">
        <f t="shared" ref="H15" si="13">ROUND((C15*G15),0)</f>
        <v>391069</v>
      </c>
      <c r="I15" s="30">
        <f t="shared" ref="I15" si="14">ROUND((F15+H15),0)</f>
        <v>1773170</v>
      </c>
      <c r="J15" s="43"/>
      <c r="K15" s="32"/>
      <c r="L15" s="33"/>
      <c r="M15" s="34"/>
      <c r="N15" s="34"/>
      <c r="O15" s="34"/>
      <c r="P15" s="34"/>
      <c r="Q15" s="35"/>
      <c r="R15" s="35"/>
      <c r="S15" s="36"/>
      <c r="T15" s="37"/>
      <c r="U15" s="36"/>
      <c r="V15" s="38"/>
      <c r="W15" s="39"/>
      <c r="X15" s="39"/>
      <c r="Y15" s="39"/>
      <c r="Z15" s="39"/>
    </row>
    <row r="16" spans="1:266" s="40" customFormat="1" ht="14.1" customHeight="1" x14ac:dyDescent="0.5">
      <c r="A16" s="24">
        <v>5</v>
      </c>
      <c r="B16" s="42" t="s">
        <v>86</v>
      </c>
      <c r="C16" s="26">
        <v>251</v>
      </c>
      <c r="D16" s="27" t="s">
        <v>44</v>
      </c>
      <c r="E16" s="28">
        <v>2596</v>
      </c>
      <c r="F16" s="29">
        <f t="shared" si="0"/>
        <v>651596</v>
      </c>
      <c r="G16" s="28">
        <v>732</v>
      </c>
      <c r="H16" s="30">
        <f t="shared" si="1"/>
        <v>183732</v>
      </c>
      <c r="I16" s="30">
        <f t="shared" si="2"/>
        <v>835328</v>
      </c>
      <c r="J16" s="43"/>
      <c r="K16" s="32"/>
      <c r="L16" s="33"/>
      <c r="M16" s="34"/>
      <c r="N16" s="34"/>
      <c r="O16" s="34"/>
      <c r="P16" s="34"/>
      <c r="Q16" s="35"/>
      <c r="R16" s="35"/>
      <c r="S16" s="36"/>
      <c r="T16" s="37"/>
      <c r="U16" s="36"/>
      <c r="V16" s="38"/>
      <c r="W16" s="39"/>
      <c r="X16" s="39"/>
      <c r="Y16" s="39"/>
      <c r="Z16" s="39"/>
    </row>
    <row r="17" spans="1:26" s="40" customFormat="1" ht="14.1" customHeight="1" x14ac:dyDescent="0.5">
      <c r="A17" s="24">
        <v>6</v>
      </c>
      <c r="B17" s="42" t="s">
        <v>72</v>
      </c>
      <c r="C17" s="26">
        <v>4</v>
      </c>
      <c r="D17" s="27" t="s">
        <v>45</v>
      </c>
      <c r="E17" s="44">
        <v>12273</v>
      </c>
      <c r="F17" s="29">
        <f t="shared" si="0"/>
        <v>49092</v>
      </c>
      <c r="G17" s="45">
        <v>3462</v>
      </c>
      <c r="H17" s="30">
        <f t="shared" si="1"/>
        <v>13848</v>
      </c>
      <c r="I17" s="30">
        <f>ROUND((F17+H17),0)</f>
        <v>62940</v>
      </c>
      <c r="J17" s="43"/>
      <c r="K17" s="32"/>
      <c r="L17" s="33"/>
      <c r="M17" s="34"/>
      <c r="N17" s="34"/>
      <c r="O17" s="34"/>
      <c r="P17" s="34"/>
      <c r="Q17" s="35"/>
      <c r="R17" s="35"/>
      <c r="S17" s="36"/>
      <c r="T17" s="37"/>
      <c r="U17" s="36"/>
      <c r="V17" s="38"/>
      <c r="W17" s="39"/>
      <c r="X17" s="39"/>
      <c r="Y17" s="39"/>
      <c r="Z17" s="39"/>
    </row>
    <row r="18" spans="1:26" s="40" customFormat="1" ht="14.1" customHeight="1" x14ac:dyDescent="0.5">
      <c r="A18" s="24">
        <v>7</v>
      </c>
      <c r="B18" s="42" t="s">
        <v>58</v>
      </c>
      <c r="C18" s="26">
        <v>40</v>
      </c>
      <c r="D18" s="27" t="s">
        <v>45</v>
      </c>
      <c r="E18" s="44">
        <v>18420</v>
      </c>
      <c r="F18" s="29">
        <f t="shared" ref="F18" si="15">ROUND((C18*E18),0)</f>
        <v>736800</v>
      </c>
      <c r="G18" s="45">
        <v>5196</v>
      </c>
      <c r="H18" s="30">
        <f t="shared" ref="H18" si="16">ROUND((C18*G18),0)</f>
        <v>207840</v>
      </c>
      <c r="I18" s="30">
        <f>ROUND((F18+H18),0)</f>
        <v>944640</v>
      </c>
      <c r="J18" s="43"/>
      <c r="K18" s="32"/>
      <c r="L18" s="33"/>
      <c r="M18" s="34"/>
      <c r="N18" s="34"/>
      <c r="O18" s="34"/>
      <c r="P18" s="34"/>
      <c r="Q18" s="35"/>
      <c r="R18" s="35"/>
      <c r="S18" s="36"/>
      <c r="T18" s="37"/>
      <c r="U18" s="36"/>
      <c r="V18" s="38"/>
      <c r="W18" s="39"/>
      <c r="X18" s="39"/>
      <c r="Y18" s="39"/>
      <c r="Z18" s="39"/>
    </row>
    <row r="19" spans="1:26" s="40" customFormat="1" ht="14.1" customHeight="1" x14ac:dyDescent="0.5">
      <c r="A19" s="24">
        <v>8</v>
      </c>
      <c r="B19" s="42" t="s">
        <v>59</v>
      </c>
      <c r="C19" s="26">
        <v>3</v>
      </c>
      <c r="D19" s="27" t="s">
        <v>45</v>
      </c>
      <c r="E19" s="44">
        <v>25289</v>
      </c>
      <c r="F19" s="29">
        <f t="shared" ref="F19" si="17">ROUND((C19*E19),0)</f>
        <v>75867</v>
      </c>
      <c r="G19" s="45">
        <v>7133</v>
      </c>
      <c r="H19" s="30">
        <f t="shared" ref="H19" si="18">ROUND((C19*G19),0)</f>
        <v>21399</v>
      </c>
      <c r="I19" s="30">
        <f>ROUND((F19+H19),0)</f>
        <v>97266</v>
      </c>
      <c r="J19" s="43"/>
      <c r="K19" s="32"/>
      <c r="L19" s="33"/>
      <c r="M19" s="34"/>
      <c r="N19" s="34"/>
      <c r="O19" s="34"/>
      <c r="P19" s="34"/>
      <c r="Q19" s="35"/>
      <c r="R19" s="35"/>
      <c r="S19" s="36"/>
      <c r="T19" s="37"/>
      <c r="U19" s="36"/>
      <c r="V19" s="38"/>
      <c r="W19" s="39"/>
      <c r="X19" s="39"/>
      <c r="Y19" s="39"/>
      <c r="Z19" s="39"/>
    </row>
    <row r="20" spans="1:26" s="40" customFormat="1" ht="14.25" customHeight="1" x14ac:dyDescent="0.5">
      <c r="A20" s="27">
        <v>9</v>
      </c>
      <c r="B20" s="42" t="s">
        <v>68</v>
      </c>
      <c r="C20" s="26">
        <v>50</v>
      </c>
      <c r="D20" s="27" t="s">
        <v>47</v>
      </c>
      <c r="E20" s="44">
        <v>5067</v>
      </c>
      <c r="F20" s="29">
        <f t="shared" si="0"/>
        <v>253350</v>
      </c>
      <c r="G20" s="45">
        <v>1429</v>
      </c>
      <c r="H20" s="30">
        <f t="shared" si="1"/>
        <v>71450</v>
      </c>
      <c r="I20" s="30">
        <f t="shared" ref="I20:I29" si="19">ROUND((F20+H20),0)</f>
        <v>324800</v>
      </c>
      <c r="J20" s="43"/>
      <c r="K20" s="32">
        <f t="shared" si="6"/>
        <v>0</v>
      </c>
      <c r="L20" s="33">
        <f t="shared" si="7"/>
        <v>0</v>
      </c>
      <c r="M20" s="34"/>
      <c r="N20" s="34"/>
      <c r="O20" s="34"/>
      <c r="P20" s="34"/>
      <c r="Q20" s="35">
        <f t="shared" si="8"/>
        <v>0</v>
      </c>
      <c r="R20" s="35"/>
      <c r="S20" s="36">
        <f t="shared" si="9"/>
        <v>0</v>
      </c>
      <c r="T20" s="37" t="e">
        <f>T14</f>
        <v>#REF!</v>
      </c>
      <c r="U20" s="36" t="e">
        <f t="shared" si="10"/>
        <v>#REF!</v>
      </c>
      <c r="V20" s="38" t="e">
        <f t="shared" si="11"/>
        <v>#REF!</v>
      </c>
      <c r="W20" s="39"/>
      <c r="X20" s="39"/>
      <c r="Y20" s="39"/>
      <c r="Z20" s="39"/>
    </row>
    <row r="21" spans="1:26" s="40" customFormat="1" ht="14.1" customHeight="1" x14ac:dyDescent="0.5">
      <c r="A21" s="24">
        <v>10</v>
      </c>
      <c r="B21" s="25" t="s">
        <v>54</v>
      </c>
      <c r="C21" s="26">
        <v>50</v>
      </c>
      <c r="D21" s="27" t="s">
        <v>46</v>
      </c>
      <c r="E21" s="44">
        <v>2755</v>
      </c>
      <c r="F21" s="29">
        <f t="shared" si="0"/>
        <v>137750</v>
      </c>
      <c r="G21" s="45">
        <v>777</v>
      </c>
      <c r="H21" s="30">
        <f t="shared" si="1"/>
        <v>38850</v>
      </c>
      <c r="I21" s="30">
        <f t="shared" si="19"/>
        <v>176600</v>
      </c>
      <c r="J21" s="43"/>
      <c r="K21" s="32"/>
      <c r="L21" s="33"/>
      <c r="M21" s="34"/>
      <c r="N21" s="34"/>
      <c r="O21" s="34"/>
      <c r="P21" s="34"/>
      <c r="Q21" s="35"/>
      <c r="R21" s="35"/>
      <c r="S21" s="36"/>
      <c r="T21" s="37"/>
      <c r="U21" s="36"/>
      <c r="V21" s="38"/>
      <c r="W21" s="39"/>
      <c r="X21" s="39"/>
      <c r="Y21" s="39"/>
      <c r="Z21" s="39"/>
    </row>
    <row r="22" spans="1:26" s="46" customFormat="1" ht="14.1" customHeight="1" x14ac:dyDescent="0.5">
      <c r="A22" s="27">
        <v>11</v>
      </c>
      <c r="B22" s="25" t="s">
        <v>60</v>
      </c>
      <c r="C22" s="26">
        <v>101</v>
      </c>
      <c r="D22" s="27" t="s">
        <v>46</v>
      </c>
      <c r="E22" s="44">
        <v>3832</v>
      </c>
      <c r="F22" s="29">
        <f t="shared" si="0"/>
        <v>387032</v>
      </c>
      <c r="G22" s="45">
        <v>827</v>
      </c>
      <c r="H22" s="30">
        <f t="shared" si="1"/>
        <v>83527</v>
      </c>
      <c r="I22" s="30">
        <f t="shared" si="19"/>
        <v>470559</v>
      </c>
      <c r="J22" s="31"/>
      <c r="K22" s="32">
        <f t="shared" si="6"/>
        <v>0</v>
      </c>
      <c r="L22" s="33">
        <f t="shared" si="7"/>
        <v>0</v>
      </c>
      <c r="M22" s="34"/>
      <c r="N22" s="34"/>
      <c r="O22" s="34"/>
      <c r="P22" s="34"/>
      <c r="Q22" s="35">
        <f t="shared" si="8"/>
        <v>0</v>
      </c>
      <c r="R22" s="35"/>
      <c r="S22" s="36">
        <f t="shared" si="9"/>
        <v>0</v>
      </c>
      <c r="T22" s="37" t="e">
        <f>#REF!</f>
        <v>#REF!</v>
      </c>
      <c r="U22" s="36" t="e">
        <f t="shared" si="10"/>
        <v>#REF!</v>
      </c>
      <c r="V22" s="38" t="e">
        <f t="shared" si="11"/>
        <v>#REF!</v>
      </c>
      <c r="W22" s="39"/>
      <c r="X22" s="39"/>
      <c r="Y22" s="39"/>
      <c r="Z22" s="39"/>
    </row>
    <row r="23" spans="1:26" s="46" customFormat="1" ht="14.1" customHeight="1" x14ac:dyDescent="0.5">
      <c r="A23" s="24">
        <v>12</v>
      </c>
      <c r="B23" s="47" t="s">
        <v>73</v>
      </c>
      <c r="C23" s="26">
        <v>10</v>
      </c>
      <c r="D23" s="27" t="s">
        <v>74</v>
      </c>
      <c r="E23" s="44">
        <v>463</v>
      </c>
      <c r="F23" s="29">
        <f t="shared" si="0"/>
        <v>4630</v>
      </c>
      <c r="G23" s="45">
        <v>130</v>
      </c>
      <c r="H23" s="30">
        <f t="shared" si="1"/>
        <v>1300</v>
      </c>
      <c r="I23" s="30">
        <f t="shared" si="19"/>
        <v>5930</v>
      </c>
      <c r="J23" s="31"/>
      <c r="K23" s="32">
        <f t="shared" si="6"/>
        <v>0</v>
      </c>
      <c r="L23" s="33">
        <f t="shared" si="7"/>
        <v>0</v>
      </c>
      <c r="M23" s="34"/>
      <c r="N23" s="34"/>
      <c r="O23" s="34"/>
      <c r="P23" s="34"/>
      <c r="Q23" s="35">
        <f t="shared" si="8"/>
        <v>0</v>
      </c>
      <c r="R23" s="35"/>
      <c r="S23" s="36">
        <f t="shared" si="9"/>
        <v>0</v>
      </c>
      <c r="T23" s="37" t="e">
        <f>#REF!</f>
        <v>#REF!</v>
      </c>
      <c r="U23" s="36" t="e">
        <f t="shared" si="10"/>
        <v>#REF!</v>
      </c>
      <c r="V23" s="38" t="e">
        <f t="shared" si="11"/>
        <v>#REF!</v>
      </c>
      <c r="W23" s="39"/>
      <c r="X23" s="39"/>
      <c r="Y23" s="39"/>
      <c r="Z23" s="39"/>
    </row>
    <row r="24" spans="1:26" s="46" customFormat="1" ht="14.1" customHeight="1" x14ac:dyDescent="0.5">
      <c r="A24" s="24">
        <v>13</v>
      </c>
      <c r="B24" s="47" t="s">
        <v>55</v>
      </c>
      <c r="C24" s="26">
        <v>44</v>
      </c>
      <c r="D24" s="27" t="s">
        <v>47</v>
      </c>
      <c r="E24" s="44">
        <v>1087</v>
      </c>
      <c r="F24" s="29">
        <f t="shared" ref="F24" si="20">ROUND((C24*E24),0)</f>
        <v>47828</v>
      </c>
      <c r="G24" s="45">
        <v>306</v>
      </c>
      <c r="H24" s="30">
        <f t="shared" ref="H24" si="21">ROUND((C24*G24),0)</f>
        <v>13464</v>
      </c>
      <c r="I24" s="30">
        <f t="shared" ref="I24" si="22">ROUND((F24+H24),0)</f>
        <v>61292</v>
      </c>
      <c r="J24" s="31"/>
      <c r="K24" s="32"/>
      <c r="L24" s="33"/>
      <c r="M24" s="34"/>
      <c r="N24" s="34"/>
      <c r="O24" s="34"/>
      <c r="P24" s="34"/>
      <c r="Q24" s="35"/>
      <c r="R24" s="35"/>
      <c r="S24" s="36"/>
      <c r="T24" s="37"/>
      <c r="U24" s="36"/>
      <c r="V24" s="38"/>
      <c r="W24" s="39"/>
      <c r="X24" s="39"/>
      <c r="Y24" s="39"/>
      <c r="Z24" s="39"/>
    </row>
    <row r="25" spans="1:26" s="46" customFormat="1" ht="14.1" customHeight="1" x14ac:dyDescent="0.5">
      <c r="A25" s="24">
        <v>14</v>
      </c>
      <c r="B25" s="47" t="s">
        <v>88</v>
      </c>
      <c r="C25" s="26">
        <v>31</v>
      </c>
      <c r="D25" s="27" t="s">
        <v>47</v>
      </c>
      <c r="E25" s="44">
        <v>2173</v>
      </c>
      <c r="F25" s="29">
        <f t="shared" ref="F25" si="23">ROUND((C25*E25),0)</f>
        <v>67363</v>
      </c>
      <c r="G25" s="45">
        <v>613</v>
      </c>
      <c r="H25" s="30">
        <f t="shared" ref="H25" si="24">ROUND((C25*G25),0)</f>
        <v>19003</v>
      </c>
      <c r="I25" s="30">
        <f t="shared" ref="I25" si="25">ROUND((F25+H25),0)</f>
        <v>86366</v>
      </c>
      <c r="J25" s="31"/>
      <c r="K25" s="32"/>
      <c r="L25" s="33"/>
      <c r="M25" s="34"/>
      <c r="N25" s="34"/>
      <c r="O25" s="34"/>
      <c r="P25" s="34"/>
      <c r="Q25" s="35"/>
      <c r="R25" s="35"/>
      <c r="S25" s="36"/>
      <c r="T25" s="37"/>
      <c r="U25" s="36"/>
      <c r="V25" s="38"/>
      <c r="W25" s="39"/>
      <c r="X25" s="39"/>
      <c r="Y25" s="39"/>
      <c r="Z25" s="39"/>
    </row>
    <row r="26" spans="1:26" s="46" customFormat="1" ht="14.1" customHeight="1" x14ac:dyDescent="0.5">
      <c r="A26" s="24">
        <v>15</v>
      </c>
      <c r="B26" s="47" t="s">
        <v>57</v>
      </c>
      <c r="C26" s="26">
        <v>250</v>
      </c>
      <c r="D26" s="27" t="s">
        <v>44</v>
      </c>
      <c r="E26" s="44">
        <v>179</v>
      </c>
      <c r="F26" s="29">
        <f t="shared" ref="F26" si="26">ROUND((C26*E26),0)</f>
        <v>44750</v>
      </c>
      <c r="G26" s="45">
        <v>50</v>
      </c>
      <c r="H26" s="30">
        <f t="shared" ref="H26" si="27">ROUND((C26*G26),0)</f>
        <v>12500</v>
      </c>
      <c r="I26" s="30">
        <f t="shared" ref="I26" si="28">ROUND((F26+H26),0)</f>
        <v>57250</v>
      </c>
      <c r="J26" s="31"/>
      <c r="K26" s="32"/>
      <c r="L26" s="33"/>
      <c r="M26" s="34"/>
      <c r="N26" s="34"/>
      <c r="O26" s="34"/>
      <c r="P26" s="34"/>
      <c r="Q26" s="35"/>
      <c r="R26" s="35"/>
      <c r="S26" s="36"/>
      <c r="T26" s="37"/>
      <c r="U26" s="36"/>
      <c r="V26" s="38"/>
      <c r="W26" s="39"/>
      <c r="X26" s="39"/>
      <c r="Y26" s="39"/>
      <c r="Z26" s="39"/>
    </row>
    <row r="27" spans="1:26" s="46" customFormat="1" ht="14.1" customHeight="1" x14ac:dyDescent="0.5">
      <c r="A27" s="27">
        <v>16</v>
      </c>
      <c r="B27" s="25" t="s">
        <v>75</v>
      </c>
      <c r="C27" s="26">
        <v>1306</v>
      </c>
      <c r="D27" s="48" t="s">
        <v>48</v>
      </c>
      <c r="E27" s="44">
        <v>288</v>
      </c>
      <c r="F27" s="29">
        <f t="shared" ref="F27:F28" si="29">ROUND((C27*E27),0)</f>
        <v>376128</v>
      </c>
      <c r="G27" s="45">
        <v>81</v>
      </c>
      <c r="H27" s="30">
        <f t="shared" ref="H27:H28" si="30">ROUND((C27*G27),0)</f>
        <v>105786</v>
      </c>
      <c r="I27" s="30">
        <f t="shared" ref="I27:I28" si="31">ROUND((F27+H27),0)</f>
        <v>481914</v>
      </c>
      <c r="J27" s="31"/>
      <c r="K27" s="32"/>
      <c r="L27" s="33"/>
      <c r="M27" s="34"/>
      <c r="N27" s="34"/>
      <c r="O27" s="34"/>
      <c r="P27" s="34"/>
      <c r="Q27" s="35"/>
      <c r="R27" s="35"/>
      <c r="S27" s="36"/>
      <c r="T27" s="37"/>
      <c r="U27" s="36"/>
      <c r="V27" s="38"/>
      <c r="W27" s="39"/>
      <c r="X27" s="39"/>
      <c r="Y27" s="39"/>
      <c r="Z27" s="39"/>
    </row>
    <row r="28" spans="1:26" s="46" customFormat="1" ht="14.1" customHeight="1" x14ac:dyDescent="0.5">
      <c r="A28" s="27">
        <v>17</v>
      </c>
      <c r="B28" s="25" t="s">
        <v>89</v>
      </c>
      <c r="C28" s="26">
        <v>4185</v>
      </c>
      <c r="D28" s="48" t="s">
        <v>48</v>
      </c>
      <c r="E28" s="44">
        <v>349</v>
      </c>
      <c r="F28" s="29">
        <f t="shared" si="29"/>
        <v>1460565</v>
      </c>
      <c r="G28" s="45">
        <v>98</v>
      </c>
      <c r="H28" s="30">
        <f t="shared" si="30"/>
        <v>410130</v>
      </c>
      <c r="I28" s="30">
        <f t="shared" si="31"/>
        <v>1870695</v>
      </c>
      <c r="J28" s="31"/>
      <c r="K28" s="32"/>
      <c r="L28" s="33"/>
      <c r="M28" s="34"/>
      <c r="N28" s="34"/>
      <c r="O28" s="34"/>
      <c r="P28" s="34"/>
      <c r="Q28" s="35"/>
      <c r="R28" s="35"/>
      <c r="S28" s="36"/>
      <c r="T28" s="37"/>
      <c r="U28" s="36"/>
      <c r="V28" s="38"/>
      <c r="W28" s="39"/>
      <c r="X28" s="39"/>
      <c r="Y28" s="39"/>
      <c r="Z28" s="39"/>
    </row>
    <row r="29" spans="1:26" s="46" customFormat="1" ht="14.1" customHeight="1" x14ac:dyDescent="0.5">
      <c r="A29" s="27">
        <v>18</v>
      </c>
      <c r="B29" s="25" t="s">
        <v>43</v>
      </c>
      <c r="C29" s="26">
        <v>2284</v>
      </c>
      <c r="D29" s="48" t="s">
        <v>48</v>
      </c>
      <c r="E29" s="44">
        <v>214</v>
      </c>
      <c r="F29" s="29">
        <f t="shared" si="0"/>
        <v>488776</v>
      </c>
      <c r="G29" s="45">
        <v>60</v>
      </c>
      <c r="H29" s="30">
        <f t="shared" si="1"/>
        <v>137040</v>
      </c>
      <c r="I29" s="30">
        <f t="shared" si="19"/>
        <v>625816</v>
      </c>
      <c r="J29" s="31"/>
      <c r="K29" s="32"/>
      <c r="L29" s="33"/>
      <c r="M29" s="34"/>
      <c r="N29" s="34"/>
      <c r="O29" s="34"/>
      <c r="P29" s="34"/>
      <c r="Q29" s="35"/>
      <c r="R29" s="35"/>
      <c r="S29" s="36"/>
      <c r="T29" s="37"/>
      <c r="U29" s="36"/>
      <c r="V29" s="38"/>
      <c r="W29" s="39"/>
      <c r="X29" s="39"/>
      <c r="Y29" s="39"/>
      <c r="Z29" s="39"/>
    </row>
    <row r="30" spans="1:26" s="46" customFormat="1" ht="14.1" customHeight="1" x14ac:dyDescent="0.5">
      <c r="A30" s="27">
        <v>19</v>
      </c>
      <c r="B30" s="25" t="s">
        <v>76</v>
      </c>
      <c r="C30" s="26">
        <v>2284</v>
      </c>
      <c r="D30" s="48" t="s">
        <v>48</v>
      </c>
      <c r="E30" s="44">
        <v>481</v>
      </c>
      <c r="F30" s="29">
        <f t="shared" ref="F30" si="32">ROUND((C30*E30),0)</f>
        <v>1098604</v>
      </c>
      <c r="G30" s="45">
        <v>136</v>
      </c>
      <c r="H30" s="30">
        <f t="shared" ref="H30" si="33">ROUND((C30*G30),0)</f>
        <v>310624</v>
      </c>
      <c r="I30" s="30">
        <f t="shared" ref="I30" si="34">ROUND((F30+H30),0)</f>
        <v>1409228</v>
      </c>
      <c r="J30" s="31"/>
      <c r="K30" s="32"/>
      <c r="L30" s="33"/>
      <c r="M30" s="34"/>
      <c r="N30" s="34"/>
      <c r="O30" s="34"/>
      <c r="P30" s="34"/>
      <c r="Q30" s="35"/>
      <c r="R30" s="35"/>
      <c r="S30" s="36"/>
      <c r="T30" s="37"/>
      <c r="U30" s="36"/>
      <c r="V30" s="38"/>
      <c r="W30" s="39"/>
      <c r="X30" s="39"/>
      <c r="Y30" s="39"/>
      <c r="Z30" s="39"/>
    </row>
    <row r="31" spans="1:26" s="46" customFormat="1" ht="14.1" customHeight="1" x14ac:dyDescent="0.5">
      <c r="A31" s="24">
        <v>20</v>
      </c>
      <c r="B31" s="47" t="s">
        <v>56</v>
      </c>
      <c r="C31" s="26">
        <v>2284</v>
      </c>
      <c r="D31" s="48" t="s">
        <v>48</v>
      </c>
      <c r="E31" s="44">
        <v>621</v>
      </c>
      <c r="F31" s="29">
        <f t="shared" ref="F31" si="35">ROUND((C31*E31),0)</f>
        <v>1418364</v>
      </c>
      <c r="G31" s="45">
        <v>175</v>
      </c>
      <c r="H31" s="30">
        <f t="shared" ref="H31" si="36">ROUND((C31*G31),0)</f>
        <v>399700</v>
      </c>
      <c r="I31" s="30">
        <f t="shared" ref="I31" si="37">ROUND((F31+H31),0)</f>
        <v>1818064</v>
      </c>
      <c r="J31" s="31"/>
      <c r="K31" s="32">
        <f t="shared" si="6"/>
        <v>0</v>
      </c>
      <c r="L31" s="33">
        <f t="shared" si="7"/>
        <v>0</v>
      </c>
      <c r="M31" s="34"/>
      <c r="N31" s="34"/>
      <c r="O31" s="34"/>
      <c r="P31" s="34"/>
      <c r="Q31" s="35">
        <f>N31+P31</f>
        <v>0</v>
      </c>
      <c r="R31" s="35"/>
      <c r="S31" s="36">
        <f t="shared" si="9"/>
        <v>0</v>
      </c>
      <c r="T31" s="37" t="e">
        <f>T23</f>
        <v>#REF!</v>
      </c>
      <c r="U31" s="36" t="e">
        <f t="shared" ref="U31" si="38">ROUND((Q31*T31),0)</f>
        <v>#REF!</v>
      </c>
      <c r="V31" s="38" t="e">
        <f t="shared" si="11"/>
        <v>#REF!</v>
      </c>
      <c r="W31" s="39"/>
      <c r="X31" s="39"/>
      <c r="Y31" s="39"/>
      <c r="Z31" s="39"/>
    </row>
    <row r="32" spans="1:26" s="46" customFormat="1" ht="14.1" customHeight="1" x14ac:dyDescent="0.5">
      <c r="A32" s="49">
        <v>21</v>
      </c>
      <c r="B32" s="47" t="s">
        <v>90</v>
      </c>
      <c r="C32" s="26">
        <v>2284</v>
      </c>
      <c r="D32" s="48" t="s">
        <v>48</v>
      </c>
      <c r="E32" s="44">
        <v>0</v>
      </c>
      <c r="F32" s="29">
        <f t="shared" ref="F32" si="39">ROUND((C32*E32),0)</f>
        <v>0</v>
      </c>
      <c r="G32" s="45">
        <v>279</v>
      </c>
      <c r="H32" s="30">
        <f t="shared" ref="H32" si="40">ROUND((C32*G32),0)</f>
        <v>637236</v>
      </c>
      <c r="I32" s="30">
        <f t="shared" ref="I32" si="41">ROUND((F32+H32),0)</f>
        <v>637236</v>
      </c>
      <c r="J32" s="50"/>
      <c r="K32" s="32"/>
      <c r="L32" s="33"/>
      <c r="M32" s="34"/>
      <c r="N32" s="34"/>
      <c r="O32" s="34"/>
      <c r="P32" s="34"/>
      <c r="Q32" s="35"/>
      <c r="R32" s="35"/>
      <c r="S32" s="36"/>
      <c r="T32" s="37"/>
      <c r="U32" s="36"/>
      <c r="V32" s="38"/>
      <c r="W32" s="39"/>
      <c r="X32" s="39"/>
      <c r="Y32" s="39"/>
      <c r="Z32" s="39"/>
    </row>
    <row r="33" spans="1:26" s="46" customFormat="1" ht="14.1" customHeight="1" x14ac:dyDescent="0.5">
      <c r="A33" s="49">
        <v>22</v>
      </c>
      <c r="B33" s="47" t="s">
        <v>77</v>
      </c>
      <c r="C33" s="26">
        <v>347</v>
      </c>
      <c r="D33" s="48" t="s">
        <v>48</v>
      </c>
      <c r="E33" s="44">
        <v>268</v>
      </c>
      <c r="F33" s="29">
        <f t="shared" ref="F33" si="42">ROUND((C33*E33),0)</f>
        <v>92996</v>
      </c>
      <c r="G33" s="45">
        <v>76</v>
      </c>
      <c r="H33" s="30">
        <f t="shared" ref="H33" si="43">ROUND((C33*G33),0)</f>
        <v>26372</v>
      </c>
      <c r="I33" s="30">
        <f t="shared" ref="I33" si="44">ROUND((F33+H33),0)</f>
        <v>119368</v>
      </c>
      <c r="J33" s="50"/>
      <c r="K33" s="32"/>
      <c r="L33" s="33"/>
      <c r="M33" s="34"/>
      <c r="N33" s="34"/>
      <c r="O33" s="34"/>
      <c r="P33" s="34"/>
      <c r="Q33" s="35"/>
      <c r="R33" s="35"/>
      <c r="S33" s="36"/>
      <c r="T33" s="37"/>
      <c r="U33" s="36"/>
      <c r="V33" s="38"/>
      <c r="W33" s="39"/>
      <c r="X33" s="39"/>
      <c r="Y33" s="39"/>
      <c r="Z33" s="39"/>
    </row>
    <row r="34" spans="1:26" s="46" customFormat="1" ht="14.1" customHeight="1" x14ac:dyDescent="0.5">
      <c r="A34" s="49"/>
      <c r="B34" s="51"/>
      <c r="C34" s="26"/>
      <c r="D34" s="48"/>
      <c r="E34" s="44"/>
      <c r="F34" s="29"/>
      <c r="G34" s="45"/>
      <c r="H34" s="30"/>
      <c r="I34" s="30"/>
      <c r="J34" s="50"/>
      <c r="K34" s="32"/>
      <c r="L34" s="33"/>
      <c r="M34" s="34"/>
      <c r="N34" s="34"/>
      <c r="O34" s="34"/>
      <c r="P34" s="34"/>
      <c r="Q34" s="35"/>
      <c r="R34" s="35"/>
      <c r="S34" s="36"/>
      <c r="T34" s="37"/>
      <c r="U34" s="36"/>
      <c r="V34" s="38"/>
      <c r="W34" s="39"/>
      <c r="X34" s="39"/>
      <c r="Y34" s="39"/>
      <c r="Z34" s="39"/>
    </row>
    <row r="35" spans="1:26" s="40" customFormat="1" ht="20.100000000000001" customHeight="1" x14ac:dyDescent="0.5">
      <c r="A35" s="52"/>
      <c r="B35" s="53" t="s">
        <v>38</v>
      </c>
      <c r="C35" s="54"/>
      <c r="D35" s="55"/>
      <c r="E35" s="56"/>
      <c r="F35" s="57">
        <f>SUM(F12:F31)</f>
        <v>13289718</v>
      </c>
      <c r="G35" s="58"/>
      <c r="H35" s="57">
        <f>SUM(H12:H31)</f>
        <v>3724096</v>
      </c>
      <c r="I35" s="59">
        <f>SUM(I12:I34)</f>
        <v>17770418</v>
      </c>
      <c r="J35" s="55"/>
      <c r="K35" s="60">
        <f>SUM(K12:K31)</f>
        <v>0</v>
      </c>
      <c r="L35" s="61">
        <f>SUM(L12:L31)</f>
        <v>0</v>
      </c>
      <c r="M35" s="34"/>
      <c r="N35" s="34"/>
      <c r="O35" s="34"/>
      <c r="P35" s="34"/>
      <c r="Q35" s="62"/>
      <c r="R35" s="62"/>
      <c r="S35" s="63">
        <f>SUM(S12:S31)</f>
        <v>0</v>
      </c>
      <c r="T35" s="64"/>
      <c r="U35" s="64"/>
      <c r="V35" s="65" t="e">
        <f>SUM(V12:V31)</f>
        <v>#REF!</v>
      </c>
      <c r="W35" s="39"/>
      <c r="X35" s="39"/>
      <c r="Y35" s="39"/>
      <c r="Z35" s="39"/>
    </row>
    <row r="36" spans="1:26" s="79" customFormat="1" ht="9.9" customHeight="1" x14ac:dyDescent="0.55000000000000004">
      <c r="A36" s="66"/>
      <c r="B36" s="67"/>
      <c r="C36" s="68"/>
      <c r="D36" s="69"/>
      <c r="E36" s="70"/>
      <c r="F36" s="71"/>
      <c r="G36" s="72"/>
      <c r="H36" s="72"/>
      <c r="I36" s="73"/>
      <c r="J36" s="69"/>
      <c r="K36" s="74"/>
      <c r="L36" s="75"/>
      <c r="M36" s="75"/>
      <c r="N36" s="75"/>
      <c r="O36" s="75"/>
      <c r="P36" s="75"/>
      <c r="Q36" s="76"/>
      <c r="R36" s="76"/>
      <c r="S36" s="76"/>
      <c r="T36" s="76"/>
      <c r="U36" s="76"/>
      <c r="V36" s="77"/>
      <c r="W36" s="78"/>
      <c r="X36" s="78"/>
      <c r="Y36" s="78"/>
      <c r="Z36" s="78"/>
    </row>
    <row r="37" spans="1:26" s="89" customFormat="1" ht="17.100000000000001" customHeight="1" x14ac:dyDescent="0.5">
      <c r="A37" s="80" t="s">
        <v>81</v>
      </c>
      <c r="B37" s="81"/>
      <c r="C37" s="82"/>
      <c r="D37" s="83"/>
      <c r="E37" s="84"/>
      <c r="F37" s="85"/>
      <c r="G37" s="86"/>
      <c r="H37" s="87"/>
      <c r="I37" s="88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spans="1:26" s="89" customFormat="1" ht="17.100000000000001" customHeight="1" x14ac:dyDescent="0.5">
      <c r="A38" s="91" t="s">
        <v>82</v>
      </c>
      <c r="B38" s="81"/>
      <c r="I38" s="92"/>
      <c r="K38" s="93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spans="1:26" ht="15" customHeight="1" x14ac:dyDescent="0.6">
      <c r="B39" s="95"/>
      <c r="C39" s="96"/>
      <c r="D39" s="15"/>
      <c r="E39" s="96"/>
      <c r="F39" s="97"/>
      <c r="K39" s="16"/>
      <c r="L39" s="16"/>
      <c r="M39" s="16"/>
      <c r="N39" s="16"/>
      <c r="O39" s="16"/>
      <c r="P39" s="16"/>
      <c r="Q39" s="98"/>
      <c r="R39" s="98"/>
      <c r="S39" s="98"/>
      <c r="T39" s="98"/>
      <c r="U39" s="98"/>
      <c r="V39" s="99"/>
    </row>
    <row r="40" spans="1:26" ht="15" customHeight="1" x14ac:dyDescent="0.6">
      <c r="B40" s="95"/>
      <c r="C40" s="96"/>
      <c r="D40" s="15"/>
      <c r="E40" s="96"/>
      <c r="F40" s="97"/>
      <c r="K40" s="16"/>
      <c r="L40" s="16"/>
      <c r="M40" s="16"/>
      <c r="N40" s="16"/>
      <c r="O40" s="16"/>
      <c r="P40" s="16"/>
      <c r="Q40" s="98"/>
      <c r="R40" s="98"/>
      <c r="S40" s="98"/>
      <c r="T40" s="98"/>
      <c r="U40" s="98"/>
      <c r="V40" s="99"/>
    </row>
    <row r="41" spans="1:26" ht="15" customHeight="1" x14ac:dyDescent="0.6">
      <c r="A41" s="15"/>
      <c r="B41" s="13"/>
      <c r="C41" s="96"/>
      <c r="D41" s="15"/>
      <c r="E41" s="96"/>
      <c r="F41" s="97"/>
      <c r="H41" s="100"/>
      <c r="I41" s="101" t="s">
        <v>21</v>
      </c>
      <c r="J41" s="102" t="s">
        <v>49</v>
      </c>
      <c r="K41" s="103"/>
      <c r="L41" s="103"/>
      <c r="M41" s="16"/>
      <c r="N41" s="16"/>
      <c r="O41" s="16"/>
      <c r="P41" s="16"/>
      <c r="Q41" s="98"/>
      <c r="R41" s="98"/>
      <c r="S41" s="98"/>
      <c r="T41" s="98"/>
      <c r="U41" s="98"/>
      <c r="V41" s="99"/>
    </row>
    <row r="42" spans="1:26" ht="15" customHeight="1" x14ac:dyDescent="0.6">
      <c r="A42" s="104"/>
      <c r="B42" s="79"/>
      <c r="I42" s="89"/>
      <c r="J42" s="105" t="s">
        <v>92</v>
      </c>
      <c r="K42" s="90"/>
      <c r="L42" s="90"/>
    </row>
    <row r="43" spans="1:26" s="3" customFormat="1" ht="15" customHeight="1" x14ac:dyDescent="0.6">
      <c r="A43" s="106"/>
      <c r="B43" s="107"/>
      <c r="C43" s="107"/>
      <c r="D43" s="108"/>
      <c r="E43" s="108"/>
      <c r="F43" s="108"/>
      <c r="G43" s="108"/>
      <c r="H43" s="108"/>
      <c r="I43" s="109"/>
      <c r="J43" s="110"/>
      <c r="K43" s="111" t="s">
        <v>30</v>
      </c>
      <c r="L43" s="111" t="s">
        <v>31</v>
      </c>
    </row>
    <row r="44" spans="1:26" s="3" customFormat="1" ht="15" customHeight="1" x14ac:dyDescent="0.6">
      <c r="A44" s="112"/>
      <c r="B44" s="113"/>
      <c r="C44" s="107"/>
      <c r="D44" s="108"/>
      <c r="E44" s="108"/>
      <c r="F44" s="108"/>
      <c r="G44" s="114"/>
      <c r="H44" s="108"/>
      <c r="I44" s="109"/>
      <c r="J44" s="110"/>
      <c r="K44" s="115">
        <f>IF(I35&lt;5000000,1.275,)</f>
        <v>0</v>
      </c>
      <c r="L44" s="115">
        <v>1.218</v>
      </c>
      <c r="M44" s="116"/>
      <c r="N44" s="116"/>
      <c r="O44" s="116"/>
      <c r="P44" s="116"/>
    </row>
    <row r="45" spans="1:26" s="3" customFormat="1" ht="23.1" customHeight="1" x14ac:dyDescent="0.6">
      <c r="A45" s="117"/>
      <c r="B45" s="108"/>
      <c r="C45" s="108"/>
      <c r="D45" s="108"/>
      <c r="E45" s="108"/>
      <c r="F45" s="108"/>
      <c r="G45" s="108"/>
      <c r="H45" s="108"/>
      <c r="I45" s="109"/>
      <c r="J45" s="110"/>
      <c r="K45" s="118"/>
      <c r="L45" s="118"/>
      <c r="M45" s="12"/>
      <c r="N45" s="12"/>
      <c r="O45" s="12"/>
      <c r="P45" s="12"/>
      <c r="Q45" s="119"/>
      <c r="R45" s="119"/>
      <c r="S45" s="119"/>
      <c r="T45" s="119"/>
    </row>
    <row r="46" spans="1:26" ht="23.1" customHeight="1" x14ac:dyDescent="0.6">
      <c r="A46" s="2"/>
      <c r="E46" s="5"/>
      <c r="J46" s="120"/>
      <c r="K46" s="121"/>
      <c r="L46" s="121"/>
      <c r="M46" s="121"/>
      <c r="N46" s="121"/>
      <c r="O46" s="121"/>
      <c r="P46" s="121"/>
      <c r="Q46" s="122"/>
      <c r="R46" s="122"/>
      <c r="S46" s="122"/>
      <c r="T46" s="122"/>
    </row>
    <row r="47" spans="1:26" ht="23.1" customHeight="1" x14ac:dyDescent="0.6">
      <c r="A47" s="1"/>
      <c r="B47" s="15"/>
      <c r="E47" s="5"/>
    </row>
    <row r="48" spans="1:26" ht="23.1" customHeight="1" x14ac:dyDescent="0.6">
      <c r="A48" s="220"/>
      <c r="B48" s="221"/>
      <c r="C48" s="221"/>
      <c r="D48" s="221"/>
      <c r="E48" s="123"/>
      <c r="F48" s="123"/>
      <c r="G48" s="123"/>
      <c r="J48" s="221"/>
      <c r="K48" s="111"/>
      <c r="L48" s="111"/>
      <c r="M48" s="111"/>
      <c r="N48" s="111"/>
      <c r="O48" s="111"/>
      <c r="P48" s="111"/>
    </row>
    <row r="49" spans="1:266" ht="23.1" customHeight="1" x14ac:dyDescent="0.6">
      <c r="A49" s="218"/>
      <c r="B49" s="218"/>
      <c r="C49" s="218"/>
      <c r="D49" s="218"/>
      <c r="E49" s="124"/>
      <c r="F49" s="124"/>
      <c r="G49" s="124"/>
      <c r="H49" s="124"/>
      <c r="I49" s="124" t="s">
        <v>62</v>
      </c>
      <c r="J49" s="218"/>
      <c r="K49" s="103"/>
      <c r="L49" s="103"/>
      <c r="M49" s="103"/>
      <c r="N49" s="103"/>
      <c r="O49" s="103"/>
      <c r="P49" s="103"/>
    </row>
    <row r="50" spans="1:266" s="127" customFormat="1" ht="23.1" customHeight="1" x14ac:dyDescent="0.6">
      <c r="A50" s="15"/>
      <c r="B50" s="2"/>
      <c r="C50" s="96"/>
      <c r="D50" s="15"/>
      <c r="E50" s="96"/>
      <c r="F50" s="125"/>
      <c r="G50" s="125"/>
      <c r="H50" s="125"/>
      <c r="I50" s="125"/>
      <c r="J50" s="126"/>
      <c r="K50" s="16"/>
      <c r="L50" s="16"/>
      <c r="M50" s="16"/>
      <c r="N50" s="16"/>
      <c r="O50" s="16"/>
      <c r="P50" s="16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</row>
    <row r="51" spans="1:266" s="129" customFormat="1" ht="23.1" customHeight="1" x14ac:dyDescent="0.6">
      <c r="A51" s="15"/>
      <c r="B51" s="2"/>
      <c r="C51" s="96"/>
      <c r="D51" s="15"/>
      <c r="E51" s="96"/>
      <c r="F51" s="128"/>
      <c r="G51" s="125"/>
      <c r="H51" s="128"/>
      <c r="I51" s="128"/>
      <c r="J51" s="126"/>
      <c r="K51" s="16"/>
      <c r="L51" s="16"/>
      <c r="M51" s="16"/>
      <c r="N51" s="16"/>
      <c r="O51" s="16"/>
      <c r="P51" s="16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</row>
    <row r="52" spans="1:266" s="129" customFormat="1" ht="23.1" customHeight="1" x14ac:dyDescent="0.6">
      <c r="A52" s="15"/>
      <c r="B52" s="2"/>
      <c r="C52" s="96"/>
      <c r="D52" s="15"/>
      <c r="E52" s="96"/>
      <c r="F52" s="125"/>
      <c r="G52" s="125"/>
      <c r="H52" s="125"/>
      <c r="I52" s="125"/>
      <c r="J52" s="126"/>
      <c r="K52" s="16"/>
      <c r="L52" s="16"/>
      <c r="M52" s="16"/>
      <c r="N52" s="16"/>
      <c r="O52" s="16"/>
      <c r="P52" s="16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</row>
    <row r="53" spans="1:266" s="129" customFormat="1" ht="23.1" customHeight="1" x14ac:dyDescent="0.6">
      <c r="A53" s="15"/>
      <c r="B53" s="2"/>
      <c r="C53" s="130"/>
      <c r="D53" s="15"/>
      <c r="E53" s="96"/>
      <c r="F53" s="125"/>
      <c r="G53" s="125"/>
      <c r="H53" s="125"/>
      <c r="I53" s="125"/>
      <c r="J53" s="126"/>
      <c r="K53" s="16"/>
      <c r="L53" s="16"/>
      <c r="M53" s="16"/>
      <c r="N53" s="16"/>
      <c r="O53" s="16"/>
      <c r="P53" s="16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</row>
    <row r="54" spans="1:266" s="129" customFormat="1" ht="23.1" customHeight="1" x14ac:dyDescent="0.6">
      <c r="A54" s="15"/>
      <c r="B54" s="2"/>
      <c r="C54" s="130"/>
      <c r="D54" s="15"/>
      <c r="E54" s="96"/>
      <c r="F54" s="128"/>
      <c r="G54" s="125"/>
      <c r="H54" s="128"/>
      <c r="I54" s="128"/>
      <c r="J54" s="126" t="s">
        <v>62</v>
      </c>
      <c r="K54" s="16"/>
      <c r="L54" s="16"/>
      <c r="M54" s="16"/>
      <c r="N54" s="16"/>
      <c r="O54" s="16"/>
      <c r="P54" s="16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</row>
    <row r="55" spans="1:266" s="129" customFormat="1" ht="23.1" customHeight="1" x14ac:dyDescent="0.6">
      <c r="A55" s="15"/>
      <c r="B55" s="2"/>
      <c r="C55" s="130"/>
      <c r="D55" s="15"/>
      <c r="E55" s="96"/>
      <c r="F55" s="125"/>
      <c r="G55" s="125"/>
      <c r="H55" s="125"/>
      <c r="I55" s="125"/>
      <c r="J55" s="126" t="s">
        <v>63</v>
      </c>
      <c r="K55" s="16"/>
      <c r="L55" s="16"/>
      <c r="M55" s="16"/>
      <c r="N55" s="16"/>
      <c r="O55" s="16"/>
      <c r="P55" s="16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</row>
    <row r="56" spans="1:266" s="129" customFormat="1" ht="23.1" customHeight="1" x14ac:dyDescent="0.6">
      <c r="A56" s="15"/>
      <c r="B56" s="2"/>
      <c r="C56" s="130"/>
      <c r="D56" s="15"/>
      <c r="E56" s="96"/>
      <c r="F56" s="125"/>
      <c r="G56" s="125"/>
      <c r="H56" s="125"/>
      <c r="I56" s="125"/>
      <c r="J56" s="126" t="s">
        <v>61</v>
      </c>
      <c r="K56" s="16"/>
      <c r="L56" s="16"/>
      <c r="M56" s="16"/>
      <c r="N56" s="16"/>
      <c r="O56" s="16"/>
      <c r="P56" s="16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</row>
    <row r="57" spans="1:266" s="129" customFormat="1" ht="23.1" customHeight="1" x14ac:dyDescent="0.6">
      <c r="A57" s="15"/>
      <c r="B57" s="2"/>
      <c r="C57" s="130"/>
      <c r="D57" s="15"/>
      <c r="E57" s="96"/>
      <c r="F57" s="125"/>
      <c r="G57" s="125"/>
      <c r="H57" s="125"/>
      <c r="I57" s="125"/>
      <c r="J57" s="126" t="s">
        <v>64</v>
      </c>
      <c r="K57" s="16"/>
      <c r="L57" s="16"/>
      <c r="M57" s="16"/>
      <c r="N57" s="16"/>
      <c r="O57" s="16"/>
      <c r="P57" s="16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</row>
    <row r="58" spans="1:266" s="129" customFormat="1" ht="23.1" customHeight="1" x14ac:dyDescent="0.6">
      <c r="A58" s="15"/>
      <c r="B58" s="2"/>
      <c r="C58" s="130"/>
      <c r="D58" s="15"/>
      <c r="E58" s="96"/>
      <c r="F58" s="125"/>
      <c r="G58" s="125"/>
      <c r="H58" s="125"/>
      <c r="I58" s="125"/>
      <c r="J58" s="126" t="s">
        <v>65</v>
      </c>
      <c r="K58" s="16"/>
      <c r="L58" s="16"/>
      <c r="M58" s="16"/>
      <c r="N58" s="16"/>
      <c r="O58" s="16"/>
      <c r="P58" s="16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</row>
    <row r="59" spans="1:266" s="129" customFormat="1" ht="23.1" customHeight="1" x14ac:dyDescent="0.6">
      <c r="A59" s="15"/>
      <c r="B59" s="2"/>
      <c r="C59" s="130"/>
      <c r="D59" s="15"/>
      <c r="E59" s="96"/>
      <c r="F59" s="125"/>
      <c r="G59" s="125"/>
      <c r="H59" s="125"/>
      <c r="I59" s="125"/>
      <c r="J59" s="126" t="s">
        <v>64</v>
      </c>
      <c r="K59" s="16"/>
      <c r="L59" s="16"/>
      <c r="M59" s="16"/>
      <c r="N59" s="16"/>
      <c r="O59" s="16"/>
      <c r="P59" s="16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</row>
    <row r="60" spans="1:266" s="129" customFormat="1" ht="23.1" customHeight="1" x14ac:dyDescent="0.6">
      <c r="A60" s="15"/>
      <c r="B60" s="2"/>
      <c r="C60" s="130"/>
      <c r="D60" s="15"/>
      <c r="E60" s="96"/>
      <c r="F60" s="125"/>
      <c r="G60" s="125"/>
      <c r="H60" s="125"/>
      <c r="I60" s="125"/>
      <c r="J60" s="126"/>
      <c r="K60" s="16"/>
      <c r="L60" s="16"/>
      <c r="M60" s="16"/>
      <c r="N60" s="16"/>
      <c r="O60" s="16"/>
      <c r="P60" s="16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</row>
    <row r="61" spans="1:266" s="129" customFormat="1" ht="23.1" customHeight="1" x14ac:dyDescent="0.6">
      <c r="A61" s="15"/>
      <c r="B61" s="124"/>
      <c r="C61" s="130"/>
      <c r="D61" s="15"/>
      <c r="E61" s="96"/>
      <c r="F61" s="125"/>
      <c r="G61" s="125"/>
      <c r="H61" s="125"/>
      <c r="I61" s="125"/>
      <c r="J61" s="126"/>
      <c r="K61" s="16"/>
      <c r="L61" s="16"/>
      <c r="M61" s="16"/>
      <c r="N61" s="16"/>
      <c r="O61" s="16"/>
      <c r="P61" s="16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</row>
    <row r="62" spans="1:266" s="129" customFormat="1" ht="23.1" customHeight="1" x14ac:dyDescent="0.6">
      <c r="A62" s="131"/>
      <c r="B62" s="2"/>
      <c r="C62" s="130"/>
      <c r="D62" s="15"/>
      <c r="E62" s="96"/>
      <c r="F62" s="125"/>
      <c r="G62" s="125"/>
      <c r="H62" s="125"/>
      <c r="I62" s="125"/>
      <c r="J62" s="126"/>
      <c r="K62" s="16"/>
      <c r="L62" s="16"/>
      <c r="M62" s="16"/>
      <c r="N62" s="16"/>
      <c r="O62" s="16"/>
      <c r="P62" s="16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</row>
    <row r="63" spans="1:266" s="129" customFormat="1" ht="23.1" customHeight="1" x14ac:dyDescent="0.6">
      <c r="A63" s="15"/>
      <c r="B63" s="2"/>
      <c r="C63" s="130"/>
      <c r="D63" s="15"/>
      <c r="E63" s="96"/>
      <c r="F63" s="125"/>
      <c r="G63" s="125"/>
      <c r="H63" s="125"/>
      <c r="I63" s="125"/>
      <c r="J63" s="126"/>
      <c r="K63" s="16"/>
      <c r="L63" s="16"/>
      <c r="M63" s="16"/>
      <c r="N63" s="16"/>
      <c r="O63" s="16"/>
      <c r="P63" s="16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</row>
    <row r="64" spans="1:266" s="129" customFormat="1" ht="23.1" customHeight="1" x14ac:dyDescent="0.6">
      <c r="A64" s="131"/>
      <c r="B64" s="2"/>
      <c r="C64" s="130"/>
      <c r="D64" s="15"/>
      <c r="E64" s="96"/>
      <c r="F64" s="125"/>
      <c r="G64" s="125"/>
      <c r="H64" s="125"/>
      <c r="I64" s="125"/>
      <c r="J64" s="126"/>
      <c r="K64" s="16"/>
      <c r="L64" s="16"/>
      <c r="M64" s="16"/>
      <c r="N64" s="16"/>
      <c r="O64" s="16"/>
      <c r="P64" s="16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</row>
    <row r="65" spans="1:256" ht="23.1" customHeight="1" x14ac:dyDescent="0.6">
      <c r="A65" s="15"/>
      <c r="C65" s="96"/>
      <c r="D65" s="15"/>
      <c r="E65" s="96"/>
      <c r="F65" s="125"/>
      <c r="G65" s="125"/>
      <c r="H65" s="125"/>
      <c r="I65" s="125"/>
      <c r="J65" s="126"/>
      <c r="K65" s="16"/>
      <c r="L65" s="16"/>
      <c r="M65" s="16"/>
      <c r="N65" s="16"/>
      <c r="O65" s="16"/>
      <c r="P65" s="16"/>
    </row>
    <row r="66" spans="1:256" ht="23.1" customHeight="1" x14ac:dyDescent="0.6">
      <c r="A66" s="15"/>
      <c r="B66" s="132"/>
      <c r="C66" s="96"/>
      <c r="D66" s="15"/>
      <c r="E66" s="96"/>
      <c r="F66" s="125"/>
      <c r="G66" s="125"/>
      <c r="H66" s="125"/>
      <c r="I66" s="125"/>
      <c r="J66" s="126"/>
      <c r="K66" s="16"/>
      <c r="L66" s="16"/>
      <c r="M66" s="16"/>
      <c r="N66" s="16"/>
      <c r="O66" s="16"/>
      <c r="P66" s="16"/>
    </row>
    <row r="67" spans="1:256" ht="23.1" customHeight="1" x14ac:dyDescent="0.6">
      <c r="A67" s="131"/>
      <c r="B67" s="133"/>
      <c r="C67" s="130"/>
      <c r="D67" s="15"/>
      <c r="E67" s="96"/>
      <c r="F67" s="125"/>
      <c r="G67" s="125"/>
      <c r="H67" s="125"/>
      <c r="I67" s="125"/>
      <c r="J67" s="126"/>
      <c r="K67" s="16"/>
      <c r="L67" s="16"/>
      <c r="M67" s="16"/>
      <c r="N67" s="16"/>
      <c r="O67" s="16"/>
      <c r="P67" s="16"/>
    </row>
    <row r="68" spans="1:256" ht="23.1" customHeight="1" x14ac:dyDescent="0.6">
      <c r="A68" s="15"/>
      <c r="C68" s="96"/>
      <c r="D68" s="15"/>
      <c r="E68" s="96"/>
      <c r="F68" s="125"/>
      <c r="G68" s="125"/>
      <c r="H68" s="125"/>
      <c r="I68" s="125"/>
      <c r="J68" s="126"/>
      <c r="K68" s="16"/>
      <c r="L68" s="16"/>
      <c r="M68" s="16"/>
      <c r="N68" s="16"/>
      <c r="O68" s="16"/>
      <c r="P68" s="16"/>
    </row>
    <row r="69" spans="1:256" ht="23.1" customHeight="1" x14ac:dyDescent="0.6">
      <c r="A69" s="15"/>
      <c r="B69" s="132"/>
      <c r="C69" s="96"/>
      <c r="D69" s="15"/>
      <c r="E69" s="96"/>
      <c r="F69" s="125"/>
      <c r="G69" s="125"/>
      <c r="H69" s="125"/>
      <c r="I69" s="125"/>
      <c r="J69" s="126"/>
      <c r="K69" s="16"/>
      <c r="L69" s="16"/>
      <c r="M69" s="16"/>
      <c r="N69" s="16"/>
      <c r="O69" s="16"/>
      <c r="P69" s="16"/>
    </row>
    <row r="70" spans="1:256" ht="23.1" customHeight="1" x14ac:dyDescent="0.6">
      <c r="A70" s="15"/>
      <c r="C70" s="134"/>
      <c r="D70" s="15"/>
      <c r="E70" s="96"/>
      <c r="F70" s="125"/>
      <c r="G70" s="125"/>
      <c r="H70" s="125"/>
      <c r="I70" s="125"/>
      <c r="J70" s="126"/>
      <c r="K70" s="16"/>
      <c r="L70" s="16"/>
      <c r="M70" s="16"/>
      <c r="N70" s="16"/>
      <c r="O70" s="16"/>
      <c r="P70" s="16"/>
    </row>
    <row r="71" spans="1:256" ht="23.1" customHeight="1" x14ac:dyDescent="0.6">
      <c r="A71" s="135"/>
      <c r="B71" s="135"/>
    </row>
    <row r="72" spans="1:256" ht="23.1" customHeight="1" x14ac:dyDescent="0.6">
      <c r="A72" s="136"/>
      <c r="B72" s="135"/>
      <c r="C72" s="79"/>
      <c r="H72" s="137"/>
      <c r="I72" s="137"/>
      <c r="J72" s="137"/>
      <c r="K72" s="138"/>
      <c r="L72" s="138"/>
      <c r="M72" s="138"/>
      <c r="N72" s="138"/>
      <c r="O72" s="138"/>
      <c r="P72" s="138"/>
    </row>
    <row r="73" spans="1:256" ht="23.1" customHeight="1" x14ac:dyDescent="0.6">
      <c r="A73" s="136"/>
      <c r="B73" s="124"/>
      <c r="C73" s="79"/>
      <c r="H73" s="13"/>
      <c r="I73" s="13"/>
      <c r="J73" s="13"/>
      <c r="K73" s="116"/>
      <c r="L73" s="116"/>
      <c r="M73" s="116"/>
      <c r="N73" s="116"/>
      <c r="O73" s="116"/>
      <c r="P73" s="116"/>
    </row>
    <row r="74" spans="1:256" ht="23.1" customHeight="1" x14ac:dyDescent="0.6">
      <c r="A74" s="2"/>
    </row>
    <row r="75" spans="1:256" ht="23.1" customHeight="1" x14ac:dyDescent="0.6">
      <c r="A75" s="2"/>
    </row>
    <row r="76" spans="1:256" s="129" customFormat="1" ht="23.1" customHeight="1" x14ac:dyDescent="0.6">
      <c r="A76" s="2"/>
      <c r="B76" s="2"/>
      <c r="C76" s="2"/>
      <c r="D76" s="2"/>
      <c r="E76" s="2"/>
      <c r="F76" s="2"/>
      <c r="G76" s="2"/>
      <c r="H76" s="2"/>
      <c r="I76" s="2"/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</row>
    <row r="77" spans="1:256" s="129" customFormat="1" ht="23.1" customHeight="1" x14ac:dyDescent="0.6">
      <c r="A77" s="2"/>
      <c r="B77" s="2"/>
      <c r="C77" s="2"/>
      <c r="D77" s="2"/>
      <c r="E77" s="2"/>
      <c r="F77" s="2"/>
      <c r="G77" s="2"/>
      <c r="H77" s="2"/>
      <c r="I77" s="2"/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</row>
    <row r="78" spans="1:256" s="129" customFormat="1" ht="23.1" customHeight="1" x14ac:dyDescent="0.6">
      <c r="A78" s="2"/>
      <c r="B78" s="2"/>
      <c r="C78" s="2"/>
      <c r="D78" s="2"/>
      <c r="E78" s="2"/>
      <c r="F78" s="2"/>
      <c r="G78" s="2"/>
      <c r="H78" s="2"/>
      <c r="I78" s="2"/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</row>
    <row r="79" spans="1:256" s="129" customFormat="1" ht="23.1" customHeight="1" x14ac:dyDescent="0.6">
      <c r="A79" s="2"/>
      <c r="B79" s="2"/>
      <c r="C79" s="2"/>
      <c r="D79" s="2"/>
      <c r="E79" s="2"/>
      <c r="F79" s="2"/>
      <c r="G79" s="2"/>
      <c r="H79" s="2"/>
      <c r="I79" s="2"/>
      <c r="J79" s="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</row>
    <row r="80" spans="1:256" s="129" customFormat="1" ht="23.1" customHeight="1" x14ac:dyDescent="0.6">
      <c r="A80" s="2"/>
      <c r="B80" s="2"/>
      <c r="C80" s="2"/>
      <c r="D80" s="2"/>
      <c r="E80" s="2"/>
      <c r="F80" s="2"/>
      <c r="G80" s="2"/>
      <c r="H80" s="2"/>
      <c r="I80" s="2"/>
      <c r="J80" s="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</row>
    <row r="81" spans="1:256" s="129" customFormat="1" ht="23.1" customHeight="1" x14ac:dyDescent="0.6">
      <c r="A81" s="2"/>
      <c r="B81" s="2"/>
      <c r="C81" s="2"/>
      <c r="D81" s="2"/>
      <c r="E81" s="2"/>
      <c r="F81" s="2"/>
      <c r="G81" s="2"/>
      <c r="H81" s="2"/>
      <c r="I81" s="2"/>
      <c r="J81" s="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</row>
    <row r="82" spans="1:256" s="129" customFormat="1" ht="23.1" customHeight="1" x14ac:dyDescent="0.6">
      <c r="A82" s="2"/>
      <c r="B82" s="2"/>
      <c r="C82" s="2"/>
      <c r="D82" s="2"/>
      <c r="E82" s="2"/>
      <c r="F82" s="2"/>
      <c r="G82" s="2"/>
      <c r="H82" s="2"/>
      <c r="I82" s="2"/>
      <c r="J82" s="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</row>
    <row r="83" spans="1:256" s="129" customFormat="1" ht="23.1" customHeight="1" x14ac:dyDescent="0.6">
      <c r="A83" s="2"/>
      <c r="B83" s="2"/>
      <c r="C83" s="2"/>
      <c r="D83" s="2"/>
      <c r="E83" s="2"/>
      <c r="F83" s="2"/>
      <c r="G83" s="2"/>
      <c r="H83" s="2"/>
      <c r="I83" s="2"/>
      <c r="J83" s="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</row>
    <row r="84" spans="1:256" s="129" customFormat="1" ht="23.1" customHeight="1" x14ac:dyDescent="0.6">
      <c r="A84" s="2"/>
      <c r="B84" s="2"/>
      <c r="C84" s="2"/>
      <c r="D84" s="2"/>
      <c r="E84" s="2"/>
      <c r="F84" s="2"/>
      <c r="G84" s="2"/>
      <c r="H84" s="2"/>
      <c r="I84" s="2"/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</row>
    <row r="85" spans="1:256" s="129" customFormat="1" ht="23.1" customHeight="1" x14ac:dyDescent="0.6">
      <c r="A85" s="2"/>
      <c r="B85" s="2"/>
      <c r="C85" s="2"/>
      <c r="D85" s="2"/>
      <c r="E85" s="2"/>
      <c r="F85" s="2"/>
      <c r="G85" s="2"/>
      <c r="H85" s="2"/>
      <c r="I85" s="2"/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</row>
    <row r="86" spans="1:256" s="129" customFormat="1" ht="23.1" customHeight="1" x14ac:dyDescent="0.6">
      <c r="A86" s="2"/>
      <c r="B86" s="2"/>
      <c r="C86" s="2"/>
      <c r="D86" s="2"/>
      <c r="E86" s="2"/>
      <c r="F86" s="2"/>
      <c r="G86" s="2"/>
      <c r="H86" s="2"/>
      <c r="I86" s="2"/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</row>
    <row r="87" spans="1:256" ht="23.1" customHeight="1" x14ac:dyDescent="0.6">
      <c r="A87" s="2"/>
    </row>
    <row r="88" spans="1:256" ht="23.1" customHeight="1" x14ac:dyDescent="0.6">
      <c r="A88" s="2"/>
    </row>
    <row r="89" spans="1:256" ht="23.1" customHeight="1" x14ac:dyDescent="0.6">
      <c r="A89" s="2"/>
    </row>
    <row r="90" spans="1:256" ht="23.1" customHeight="1" x14ac:dyDescent="0.6">
      <c r="A90" s="2"/>
    </row>
    <row r="91" spans="1:256" s="129" customFormat="1" ht="23.1" customHeight="1" x14ac:dyDescent="0.6">
      <c r="A91" s="2"/>
      <c r="B91" s="2"/>
      <c r="C91" s="2"/>
      <c r="D91" s="2"/>
      <c r="E91" s="2"/>
      <c r="F91" s="2"/>
      <c r="G91" s="2"/>
      <c r="H91" s="2"/>
      <c r="I91" s="2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</row>
    <row r="92" spans="1:256" s="129" customFormat="1" ht="23.1" customHeight="1" x14ac:dyDescent="0.6">
      <c r="A92" s="2"/>
      <c r="B92" s="2"/>
      <c r="C92" s="2"/>
      <c r="D92" s="2"/>
      <c r="E92" s="2"/>
      <c r="F92" s="2"/>
      <c r="G92" s="2"/>
      <c r="H92" s="2"/>
      <c r="I92" s="2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</row>
    <row r="93" spans="1:256" ht="23.1" customHeight="1" x14ac:dyDescent="0.6">
      <c r="A93" s="2"/>
    </row>
    <row r="94" spans="1:256" ht="23.1" customHeight="1" x14ac:dyDescent="0.6">
      <c r="A94" s="2"/>
    </row>
    <row r="95" spans="1:256" ht="23.1" customHeight="1" x14ac:dyDescent="0.6">
      <c r="A95" s="2"/>
    </row>
    <row r="96" spans="1:256" ht="23.1" customHeight="1" x14ac:dyDescent="0.6">
      <c r="A96" s="2"/>
    </row>
    <row r="97" spans="1:1" ht="23.1" customHeight="1" x14ac:dyDescent="0.6">
      <c r="A97" s="2"/>
    </row>
    <row r="98" spans="1:1" ht="23.1" customHeight="1" x14ac:dyDescent="0.6">
      <c r="A98" s="2"/>
    </row>
    <row r="99" spans="1:1" ht="23.1" customHeight="1" x14ac:dyDescent="0.6">
      <c r="A99" s="2"/>
    </row>
    <row r="100" spans="1:1" ht="23.1" customHeight="1" x14ac:dyDescent="0.6">
      <c r="A100" s="2"/>
    </row>
    <row r="101" spans="1:1" ht="23.1" customHeight="1" x14ac:dyDescent="0.6">
      <c r="A101" s="2"/>
    </row>
    <row r="102" spans="1:1" ht="23.1" customHeight="1" x14ac:dyDescent="0.6">
      <c r="A102" s="2"/>
    </row>
    <row r="103" spans="1:1" ht="23.1" customHeight="1" x14ac:dyDescent="0.6">
      <c r="A103" s="2"/>
    </row>
    <row r="104" spans="1:1" ht="23.1" customHeight="1" x14ac:dyDescent="0.6">
      <c r="A104" s="2"/>
    </row>
    <row r="105" spans="1:1" ht="23.1" customHeight="1" x14ac:dyDescent="0.6">
      <c r="A105" s="2"/>
    </row>
    <row r="106" spans="1:1" ht="23.1" customHeight="1" x14ac:dyDescent="0.6">
      <c r="A106" s="2"/>
    </row>
    <row r="107" spans="1:1" ht="23.1" customHeight="1" x14ac:dyDescent="0.6">
      <c r="A107" s="2"/>
    </row>
    <row r="108" spans="1:1" ht="23.1" customHeight="1" x14ac:dyDescent="0.6">
      <c r="A108" s="2"/>
    </row>
    <row r="109" spans="1:1" ht="23.1" customHeight="1" x14ac:dyDescent="0.6">
      <c r="A109" s="2"/>
    </row>
    <row r="110" spans="1:1" ht="23.1" customHeight="1" x14ac:dyDescent="0.6">
      <c r="A110" s="2"/>
    </row>
    <row r="111" spans="1:1" ht="23.1" customHeight="1" x14ac:dyDescent="0.6">
      <c r="A111" s="2"/>
    </row>
    <row r="112" spans="1:1" ht="23.1" customHeight="1" x14ac:dyDescent="0.6">
      <c r="A112" s="2"/>
    </row>
    <row r="113" spans="1:256" ht="23.1" customHeight="1" x14ac:dyDescent="0.6">
      <c r="A113" s="2"/>
    </row>
    <row r="114" spans="1:256" ht="23.1" customHeight="1" x14ac:dyDescent="0.6">
      <c r="A114" s="2"/>
    </row>
    <row r="115" spans="1:256" ht="23.1" customHeight="1" x14ac:dyDescent="0.6">
      <c r="A115" s="2"/>
    </row>
    <row r="116" spans="1:256" ht="23.1" customHeight="1" x14ac:dyDescent="0.6">
      <c r="A116" s="2"/>
    </row>
    <row r="117" spans="1:256" ht="23.1" customHeight="1" x14ac:dyDescent="0.6">
      <c r="A117" s="2"/>
    </row>
    <row r="118" spans="1:256" s="129" customFormat="1" ht="23.1" customHeight="1" x14ac:dyDescent="0.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</row>
    <row r="119" spans="1:256" ht="23.1" customHeight="1" x14ac:dyDescent="0.6">
      <c r="A119" s="2"/>
    </row>
    <row r="120" spans="1:256" ht="23.1" customHeight="1" x14ac:dyDescent="0.6">
      <c r="A120" s="2"/>
    </row>
    <row r="121" spans="1:256" ht="23.1" customHeight="1" x14ac:dyDescent="0.6">
      <c r="A121" s="2"/>
    </row>
    <row r="122" spans="1:256" ht="23.1" customHeight="1" x14ac:dyDescent="0.6">
      <c r="A122" s="2"/>
    </row>
    <row r="123" spans="1:256" ht="23.1" customHeight="1" x14ac:dyDescent="0.6">
      <c r="A123" s="2"/>
    </row>
    <row r="124" spans="1:256" ht="23.1" customHeight="1" x14ac:dyDescent="0.6">
      <c r="A124" s="2"/>
    </row>
    <row r="125" spans="1:256" ht="23.1" customHeight="1" x14ac:dyDescent="0.6">
      <c r="A125" s="2"/>
    </row>
    <row r="126" spans="1:256" ht="23.1" customHeight="1" x14ac:dyDescent="0.6">
      <c r="A126" s="2"/>
    </row>
    <row r="127" spans="1:256" ht="23.1" customHeight="1" x14ac:dyDescent="0.6">
      <c r="A127" s="2"/>
    </row>
    <row r="128" spans="1:256" ht="23.1" customHeight="1" x14ac:dyDescent="0.6">
      <c r="A128" s="2"/>
    </row>
    <row r="129" spans="1:1" ht="23.1" customHeight="1" x14ac:dyDescent="0.6">
      <c r="A129" s="2"/>
    </row>
    <row r="130" spans="1:1" ht="23.1" customHeight="1" x14ac:dyDescent="0.6">
      <c r="A130" s="2"/>
    </row>
    <row r="131" spans="1:1" ht="23.1" customHeight="1" x14ac:dyDescent="0.6">
      <c r="A131" s="2"/>
    </row>
    <row r="132" spans="1:1" ht="23.1" customHeight="1" x14ac:dyDescent="0.6">
      <c r="A132" s="2"/>
    </row>
  </sheetData>
  <mergeCells count="25">
    <mergeCell ref="A4:J4"/>
    <mergeCell ref="K10:K11"/>
    <mergeCell ref="L10:L11"/>
    <mergeCell ref="A48:A49"/>
    <mergeCell ref="B48:B49"/>
    <mergeCell ref="C48:C49"/>
    <mergeCell ref="D48:D49"/>
    <mergeCell ref="J48:J49"/>
    <mergeCell ref="A10:A11"/>
    <mergeCell ref="B10:B11"/>
    <mergeCell ref="C10:C11"/>
    <mergeCell ref="D10:D11"/>
    <mergeCell ref="J10:J11"/>
    <mergeCell ref="G10:H10"/>
    <mergeCell ref="E10:F10"/>
    <mergeCell ref="U10:U11"/>
    <mergeCell ref="V10:V11"/>
    <mergeCell ref="M10:M11"/>
    <mergeCell ref="O10:O11"/>
    <mergeCell ref="S10:S11"/>
    <mergeCell ref="T10:T11"/>
    <mergeCell ref="Q10:Q11"/>
    <mergeCell ref="N10:N11"/>
    <mergeCell ref="P10:P11"/>
    <mergeCell ref="R10:R11"/>
  </mergeCells>
  <printOptions horizontalCentered="1"/>
  <pageMargins left="0" right="0" top="0.23622047244094491" bottom="0" header="0.31496062992125984" footer="0.31496062992125984"/>
  <pageSetup paperSize="9" scale="80" fitToHeight="0" orientation="landscape" r:id="rId1"/>
  <headerFooter alignWithMargins="0"/>
  <rowBreaks count="1" manualBreakCount="1">
    <brk id="44" max="8" man="1"/>
  </rowBreaks>
  <colBreaks count="1" manualBreakCount="1">
    <brk id="16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IR120"/>
  <sheetViews>
    <sheetView tabSelected="1" zoomScaleNormal="100" workbookViewId="0">
      <selection activeCell="E9" sqref="E9"/>
    </sheetView>
  </sheetViews>
  <sheetFormatPr defaultColWidth="9.375" defaultRowHeight="23.1" customHeight="1" x14ac:dyDescent="0.6"/>
  <cols>
    <col min="1" max="1" width="8" style="94" customWidth="1"/>
    <col min="2" max="2" width="75.5" style="2" bestFit="1" customWidth="1"/>
    <col min="3" max="3" width="14.375" style="2" customWidth="1"/>
    <col min="4" max="5" width="14.875" style="2" customWidth="1"/>
    <col min="6" max="6" width="21.875" style="132" customWidth="1"/>
    <col min="7" max="7" width="21.875" style="2" customWidth="1"/>
    <col min="8" max="8" width="22.5" style="2" customWidth="1"/>
    <col min="9" max="9" width="13" style="2" customWidth="1"/>
    <col min="10" max="10" width="15" style="2" customWidth="1"/>
    <col min="11" max="12" width="9.375" style="2"/>
    <col min="13" max="25" width="9.5" style="3" customWidth="1"/>
    <col min="26" max="16384" width="9.375" style="2"/>
  </cols>
  <sheetData>
    <row r="1" spans="1:252" ht="15.9" customHeight="1" x14ac:dyDescent="0.6">
      <c r="A1" s="1"/>
      <c r="T1" s="4"/>
      <c r="U1" s="4"/>
      <c r="V1" s="4"/>
    </row>
    <row r="2" spans="1:252" ht="15.9" customHeight="1" x14ac:dyDescent="0.6">
      <c r="A2" s="2"/>
      <c r="H2" s="5"/>
      <c r="K2" s="6"/>
      <c r="L2" s="7"/>
      <c r="M2" s="139" t="s">
        <v>3</v>
      </c>
      <c r="N2" s="8"/>
      <c r="P2" s="8"/>
      <c r="Q2" s="8"/>
      <c r="R2" s="8"/>
      <c r="S2" s="8"/>
    </row>
    <row r="3" spans="1:252" ht="12.9" customHeight="1" x14ac:dyDescent="0.6">
      <c r="A3" s="218"/>
      <c r="B3" s="218"/>
      <c r="C3" s="218"/>
      <c r="D3" s="218"/>
      <c r="E3" s="218"/>
      <c r="F3" s="218"/>
      <c r="G3" s="218"/>
      <c r="H3" s="218"/>
      <c r="K3" s="6"/>
      <c r="L3" s="7"/>
      <c r="M3" s="139"/>
      <c r="N3" s="8"/>
      <c r="P3" s="8"/>
      <c r="Q3" s="8"/>
      <c r="R3" s="8"/>
      <c r="S3" s="8"/>
    </row>
    <row r="4" spans="1:252" ht="18" customHeight="1" x14ac:dyDescent="0.6">
      <c r="A4" s="140" t="s">
        <v>36</v>
      </c>
      <c r="B4" s="10"/>
      <c r="C4" s="10"/>
      <c r="D4" s="10"/>
      <c r="E4" s="10"/>
      <c r="H4" s="11" t="s">
        <v>3</v>
      </c>
      <c r="K4" s="6"/>
      <c r="L4" s="6"/>
      <c r="M4" s="139"/>
      <c r="N4" s="8"/>
      <c r="P4" s="8"/>
      <c r="Q4" s="8"/>
      <c r="R4" s="8"/>
      <c r="S4" s="8"/>
      <c r="T4" s="12"/>
    </row>
    <row r="5" spans="1:252" ht="18" customHeight="1" x14ac:dyDescent="0.6">
      <c r="A5" s="141" t="s">
        <v>83</v>
      </c>
      <c r="B5" s="142" t="str">
        <f>'ปร.4 '!A8</f>
        <v xml:space="preserve">บัญชีราคา งานจ้างเหมาก่อสร้างท่อร้อยสายสื่อสารใต้ดินและ/หรือบ่อพัก  </v>
      </c>
      <c r="C5" s="143" t="str">
        <f>'ปร.4 '!C8</f>
        <v>โครงการ ปรับปรุงระบบจำหน่ายไฟฟ้าเป็นเคเบิลใต้ดิน</v>
      </c>
      <c r="D5" s="144"/>
      <c r="F5" s="144"/>
      <c r="H5" s="5"/>
      <c r="M5" s="16"/>
      <c r="N5" s="16"/>
      <c r="P5" s="16"/>
      <c r="Q5" s="16"/>
      <c r="R5" s="16"/>
      <c r="S5" s="16"/>
    </row>
    <row r="6" spans="1:252" ht="18" customHeight="1" x14ac:dyDescent="0.6">
      <c r="A6" s="82" t="s">
        <v>84</v>
      </c>
      <c r="B6" s="143" t="s">
        <v>91</v>
      </c>
      <c r="C6" s="145" t="s">
        <v>25</v>
      </c>
      <c r="D6" s="144" t="str">
        <f>'ปร.4 '!D9</f>
        <v>ชส.กาญจนบุรี จ.กาญจนบุรี</v>
      </c>
      <c r="E6" s="144"/>
      <c r="F6" s="2"/>
      <c r="G6" s="146"/>
      <c r="H6" s="5"/>
      <c r="M6" s="147" t="s">
        <v>5</v>
      </c>
      <c r="N6" s="8"/>
      <c r="O6" s="8"/>
      <c r="P6" s="8"/>
      <c r="Q6" s="8"/>
      <c r="R6" s="8"/>
      <c r="S6" s="8"/>
    </row>
    <row r="7" spans="1:252" ht="18" customHeight="1" x14ac:dyDescent="0.6">
      <c r="A7" s="227" t="s">
        <v>16</v>
      </c>
      <c r="B7" s="229" t="s">
        <v>17</v>
      </c>
      <c r="C7" s="231" t="s">
        <v>7</v>
      </c>
      <c r="D7" s="235" t="s">
        <v>33</v>
      </c>
      <c r="E7" s="235" t="s">
        <v>34</v>
      </c>
      <c r="F7" s="148" t="s">
        <v>26</v>
      </c>
      <c r="G7" s="148" t="s">
        <v>40</v>
      </c>
      <c r="H7" s="231" t="s">
        <v>1</v>
      </c>
    </row>
    <row r="8" spans="1:252" ht="18" customHeight="1" x14ac:dyDescent="0.6">
      <c r="A8" s="228"/>
      <c r="B8" s="230"/>
      <c r="C8" s="228"/>
      <c r="D8" s="236"/>
      <c r="E8" s="236"/>
      <c r="F8" s="23" t="s">
        <v>42</v>
      </c>
      <c r="G8" s="23" t="s">
        <v>42</v>
      </c>
      <c r="H8" s="228"/>
    </row>
    <row r="9" spans="1:252" s="157" customFormat="1" ht="14.1" customHeight="1" x14ac:dyDescent="0.5">
      <c r="A9" s="149">
        <v>1</v>
      </c>
      <c r="B9" s="144" t="s">
        <v>32</v>
      </c>
      <c r="C9" s="150">
        <f>'ปร.4 '!I35</f>
        <v>17770418</v>
      </c>
      <c r="D9" s="151">
        <f>'ปร.4 '!K44</f>
        <v>0</v>
      </c>
      <c r="E9" s="152">
        <v>1.1841999999999999</v>
      </c>
      <c r="F9" s="153">
        <f>IF(D9=1.2733,C9*D9,IF(E9&lt;1.2733,C9*E9,))</f>
        <v>21043729</v>
      </c>
      <c r="G9" s="154"/>
      <c r="H9" s="155"/>
      <c r="I9" s="81"/>
      <c r="J9" s="81"/>
      <c r="K9" s="81"/>
      <c r="L9" s="81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A9" s="81"/>
      <c r="DB9" s="81"/>
      <c r="DC9" s="81"/>
      <c r="DD9" s="81"/>
      <c r="DE9" s="81"/>
      <c r="DF9" s="81"/>
      <c r="DG9" s="81"/>
      <c r="DH9" s="81"/>
      <c r="DI9" s="81"/>
      <c r="DJ9" s="81"/>
      <c r="DK9" s="81"/>
      <c r="DL9" s="81"/>
      <c r="DM9" s="81"/>
      <c r="DN9" s="81"/>
      <c r="DO9" s="81"/>
      <c r="DP9" s="81"/>
      <c r="DQ9" s="81"/>
      <c r="DR9" s="81"/>
      <c r="DS9" s="81"/>
      <c r="DT9" s="81"/>
      <c r="DU9" s="81"/>
      <c r="DV9" s="81"/>
      <c r="DW9" s="81"/>
      <c r="DX9" s="81"/>
      <c r="DY9" s="81"/>
      <c r="DZ9" s="81"/>
      <c r="EA9" s="81"/>
      <c r="EB9" s="81"/>
      <c r="EC9" s="81"/>
      <c r="ED9" s="81"/>
      <c r="EE9" s="81"/>
      <c r="EF9" s="81"/>
      <c r="EG9" s="81"/>
      <c r="EH9" s="81"/>
      <c r="EI9" s="81"/>
      <c r="EJ9" s="81"/>
      <c r="EK9" s="81"/>
      <c r="EL9" s="81"/>
      <c r="EM9" s="81"/>
      <c r="EN9" s="81"/>
      <c r="EO9" s="81"/>
      <c r="EP9" s="81"/>
      <c r="EQ9" s="81"/>
      <c r="ER9" s="81"/>
      <c r="ES9" s="81"/>
      <c r="ET9" s="81"/>
      <c r="EU9" s="81"/>
      <c r="EV9" s="81"/>
      <c r="EW9" s="81"/>
      <c r="EX9" s="81"/>
      <c r="EY9" s="81"/>
      <c r="EZ9" s="81"/>
      <c r="FA9" s="81"/>
      <c r="FB9" s="81"/>
      <c r="FC9" s="81"/>
      <c r="FD9" s="81"/>
      <c r="FE9" s="81"/>
      <c r="FF9" s="81"/>
      <c r="FG9" s="81"/>
      <c r="FH9" s="81"/>
      <c r="FI9" s="81"/>
      <c r="FJ9" s="81"/>
      <c r="FK9" s="81"/>
      <c r="FL9" s="81"/>
      <c r="FM9" s="81"/>
      <c r="FN9" s="81"/>
      <c r="FO9" s="81"/>
      <c r="FP9" s="81"/>
      <c r="FQ9" s="81"/>
      <c r="FR9" s="81"/>
      <c r="FS9" s="81"/>
      <c r="FT9" s="81"/>
      <c r="FU9" s="81"/>
      <c r="FV9" s="81"/>
      <c r="FW9" s="81"/>
      <c r="FX9" s="81"/>
      <c r="FY9" s="81"/>
      <c r="FZ9" s="81"/>
      <c r="GA9" s="81"/>
      <c r="GB9" s="81"/>
      <c r="GC9" s="81"/>
      <c r="GD9" s="81"/>
      <c r="GE9" s="81"/>
      <c r="GF9" s="81"/>
      <c r="GG9" s="81"/>
      <c r="GH9" s="81"/>
      <c r="GI9" s="81"/>
      <c r="GJ9" s="81"/>
      <c r="GK9" s="81"/>
      <c r="GL9" s="81"/>
      <c r="GM9" s="81"/>
      <c r="GN9" s="81"/>
      <c r="GO9" s="81"/>
      <c r="GP9" s="81"/>
      <c r="GQ9" s="81"/>
      <c r="GR9" s="81"/>
      <c r="GS9" s="81"/>
      <c r="GT9" s="81"/>
      <c r="GU9" s="81"/>
      <c r="GV9" s="81"/>
      <c r="GW9" s="81"/>
      <c r="GX9" s="81"/>
      <c r="GY9" s="81"/>
      <c r="GZ9" s="81"/>
      <c r="HA9" s="81"/>
      <c r="HB9" s="81"/>
      <c r="HC9" s="81"/>
      <c r="HD9" s="81"/>
      <c r="HE9" s="81"/>
      <c r="HF9" s="81"/>
      <c r="HG9" s="81"/>
      <c r="HH9" s="81"/>
      <c r="HI9" s="81"/>
      <c r="HJ9" s="81"/>
      <c r="HK9" s="81"/>
      <c r="HL9" s="81"/>
      <c r="HM9" s="81"/>
      <c r="HN9" s="81"/>
      <c r="HO9" s="81"/>
      <c r="HP9" s="81"/>
      <c r="HQ9" s="81"/>
      <c r="HR9" s="81"/>
      <c r="HS9" s="81"/>
      <c r="HT9" s="81"/>
      <c r="HU9" s="81"/>
      <c r="HV9" s="81"/>
      <c r="HW9" s="81"/>
      <c r="HX9" s="81"/>
      <c r="HY9" s="81"/>
      <c r="HZ9" s="81"/>
      <c r="IA9" s="81"/>
      <c r="IB9" s="81"/>
      <c r="IC9" s="81"/>
      <c r="ID9" s="81"/>
      <c r="IE9" s="81"/>
      <c r="IF9" s="81"/>
      <c r="IG9" s="81"/>
      <c r="IH9" s="81"/>
      <c r="II9" s="81"/>
      <c r="IJ9" s="81"/>
      <c r="IK9" s="81"/>
      <c r="IL9" s="81"/>
      <c r="IM9" s="81"/>
      <c r="IN9" s="81"/>
      <c r="IO9" s="81"/>
      <c r="IP9" s="81"/>
      <c r="IQ9" s="81"/>
      <c r="IR9" s="81"/>
    </row>
    <row r="10" spans="1:252" s="157" customFormat="1" ht="14.1" customHeight="1" x14ac:dyDescent="0.6">
      <c r="A10" s="48"/>
      <c r="B10" s="158"/>
      <c r="C10" s="159"/>
      <c r="D10" s="160"/>
      <c r="E10" s="161" t="s">
        <v>51</v>
      </c>
      <c r="F10" s="162"/>
      <c r="G10" s="163" t="s">
        <v>52</v>
      </c>
      <c r="H10" s="164"/>
      <c r="I10" s="81"/>
      <c r="J10" s="81"/>
      <c r="K10" s="81"/>
      <c r="L10" s="81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</row>
    <row r="11" spans="1:252" s="157" customFormat="1" ht="14.1" customHeight="1" x14ac:dyDescent="0.55000000000000004">
      <c r="A11" s="27"/>
      <c r="B11" s="165"/>
      <c r="C11" s="166"/>
      <c r="D11" s="167"/>
      <c r="E11" s="167"/>
      <c r="F11" s="168"/>
      <c r="G11" s="169"/>
      <c r="H11" s="27"/>
      <c r="I11" s="81"/>
      <c r="J11" s="81"/>
      <c r="K11" s="81"/>
      <c r="L11" s="81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</row>
    <row r="12" spans="1:252" s="157" customFormat="1" ht="14.1" customHeight="1" x14ac:dyDescent="0.55000000000000004">
      <c r="A12" s="27"/>
      <c r="B12" s="170"/>
      <c r="C12" s="171"/>
      <c r="D12" s="172"/>
      <c r="E12" s="172"/>
      <c r="F12" s="173"/>
      <c r="G12" s="174"/>
      <c r="H12" s="164"/>
      <c r="I12" s="81"/>
      <c r="J12" s="81"/>
      <c r="K12" s="81"/>
      <c r="L12" s="81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</row>
    <row r="13" spans="1:252" s="157" customFormat="1" ht="14.1" customHeight="1" x14ac:dyDescent="0.5">
      <c r="A13" s="27"/>
      <c r="B13" s="170"/>
      <c r="C13" s="175"/>
      <c r="D13" s="176"/>
      <c r="E13" s="176"/>
      <c r="F13" s="177"/>
      <c r="G13" s="178"/>
      <c r="H13" s="27"/>
      <c r="I13" s="81"/>
      <c r="J13" s="81"/>
      <c r="K13" s="81"/>
      <c r="L13" s="81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</row>
    <row r="14" spans="1:252" s="157" customFormat="1" ht="14.1" customHeight="1" x14ac:dyDescent="0.55000000000000004">
      <c r="A14" s="27"/>
      <c r="B14" s="179"/>
      <c r="C14" s="180"/>
      <c r="D14" s="181"/>
      <c r="E14" s="181"/>
      <c r="F14" s="182"/>
      <c r="G14" s="183"/>
      <c r="H14" s="27"/>
      <c r="I14" s="81"/>
      <c r="J14" s="81"/>
      <c r="K14" s="81"/>
      <c r="L14" s="81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</row>
    <row r="15" spans="1:252" s="157" customFormat="1" ht="14.1" customHeight="1" x14ac:dyDescent="0.6">
      <c r="A15" s="27"/>
      <c r="B15" s="184"/>
      <c r="C15" s="185"/>
      <c r="D15" s="25"/>
      <c r="E15" s="25"/>
      <c r="F15" s="186"/>
      <c r="G15" s="187"/>
      <c r="H15" s="27"/>
      <c r="I15" s="81"/>
      <c r="J15" s="81"/>
      <c r="K15" s="81"/>
      <c r="L15" s="81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</row>
    <row r="16" spans="1:252" s="157" customFormat="1" ht="14.1" customHeight="1" x14ac:dyDescent="0.6">
      <c r="A16" s="27"/>
      <c r="B16" s="184"/>
      <c r="C16" s="185"/>
      <c r="D16" s="25"/>
      <c r="E16" s="25"/>
      <c r="F16" s="186"/>
      <c r="G16" s="187"/>
      <c r="H16" s="27"/>
      <c r="I16" s="81"/>
      <c r="J16" s="81"/>
      <c r="K16" s="81"/>
      <c r="L16" s="81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</row>
    <row r="17" spans="1:252" s="157" customFormat="1" ht="14.1" customHeight="1" x14ac:dyDescent="0.6">
      <c r="A17" s="27"/>
      <c r="B17" s="184"/>
      <c r="C17" s="185"/>
      <c r="D17" s="25"/>
      <c r="E17" s="25"/>
      <c r="F17" s="186"/>
      <c r="G17" s="187"/>
      <c r="H17" s="27"/>
      <c r="I17" s="81"/>
      <c r="J17" s="81"/>
      <c r="K17" s="81"/>
      <c r="L17" s="81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</row>
    <row r="18" spans="1:252" s="81" customFormat="1" ht="14.1" customHeight="1" x14ac:dyDescent="0.6">
      <c r="A18" s="27"/>
      <c r="B18" s="184"/>
      <c r="C18" s="185"/>
      <c r="D18" s="25"/>
      <c r="E18" s="25"/>
      <c r="F18" s="186"/>
      <c r="G18" s="187"/>
      <c r="H18" s="27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</row>
    <row r="19" spans="1:252" s="81" customFormat="1" ht="15.9" customHeight="1" x14ac:dyDescent="0.6">
      <c r="A19" s="24"/>
      <c r="B19" s="188" t="s">
        <v>23</v>
      </c>
      <c r="C19" s="189"/>
      <c r="D19" s="189"/>
      <c r="E19" s="190"/>
      <c r="F19" s="153">
        <f>F9</f>
        <v>21043729</v>
      </c>
      <c r="G19" s="187"/>
      <c r="H19" s="27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</row>
    <row r="20" spans="1:252" s="81" customFormat="1" ht="15.9" customHeight="1" x14ac:dyDescent="0.6">
      <c r="A20" s="24"/>
      <c r="B20" s="191" t="s">
        <v>35</v>
      </c>
      <c r="C20" s="192"/>
      <c r="D20" s="192"/>
      <c r="E20" s="193" t="s">
        <v>66</v>
      </c>
      <c r="F20" s="194">
        <f>ROUND((F19*0.07),2)</f>
        <v>1473061.03</v>
      </c>
      <c r="G20" s="187"/>
      <c r="H20" s="27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</row>
    <row r="21" spans="1:252" s="81" customFormat="1" ht="15.9" customHeight="1" x14ac:dyDescent="0.55000000000000004">
      <c r="A21" s="24"/>
      <c r="B21" s="191" t="s">
        <v>20</v>
      </c>
      <c r="C21" s="195"/>
      <c r="D21" s="195"/>
      <c r="E21" s="196"/>
      <c r="F21" s="197"/>
      <c r="G21" s="198">
        <f>F19+F20</f>
        <v>22516790.030000001</v>
      </c>
      <c r="H21" s="27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</row>
    <row r="22" spans="1:252" s="81" customFormat="1" ht="15.9" customHeight="1" x14ac:dyDescent="0.55000000000000004">
      <c r="A22" s="24"/>
      <c r="B22" s="199"/>
      <c r="C22" s="200"/>
      <c r="D22" s="200"/>
      <c r="E22" s="200"/>
      <c r="F22" s="168"/>
      <c r="G22" s="169"/>
      <c r="H22" s="27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</row>
    <row r="23" spans="1:252" s="79" customFormat="1" ht="15.9" customHeight="1" x14ac:dyDescent="0.55000000000000004">
      <c r="A23" s="27"/>
      <c r="B23" s="201" t="s">
        <v>29</v>
      </c>
      <c r="C23" s="232" t="str">
        <f>BAHTTEXT(F19)</f>
        <v>ยี่สิบเอ็ดล้านสี่หมื่นสามพันเจ็ดร้อยยี่สิบเก้าบาทถ้วน</v>
      </c>
      <c r="D23" s="233"/>
      <c r="E23" s="233"/>
      <c r="F23" s="233"/>
      <c r="G23" s="234"/>
      <c r="H23" s="202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1:252" s="79" customFormat="1" ht="9" customHeight="1" x14ac:dyDescent="0.55000000000000004">
      <c r="A24" s="203"/>
      <c r="B24" s="204"/>
      <c r="C24" s="205"/>
      <c r="D24" s="205"/>
      <c r="E24" s="205"/>
      <c r="F24" s="71"/>
      <c r="G24" s="72"/>
      <c r="H24" s="69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1:252" s="89" customFormat="1" ht="17.100000000000001" customHeight="1" x14ac:dyDescent="0.5">
      <c r="A25" s="80" t="s">
        <v>81</v>
      </c>
      <c r="B25" s="81"/>
      <c r="C25" s="82"/>
      <c r="D25" s="83"/>
      <c r="E25" s="84"/>
      <c r="F25" s="85"/>
      <c r="G25" s="86"/>
      <c r="H25" s="87"/>
      <c r="I25" s="88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</row>
    <row r="26" spans="1:252" s="89" customFormat="1" ht="17.100000000000001" customHeight="1" x14ac:dyDescent="0.5">
      <c r="A26" s="91" t="s">
        <v>82</v>
      </c>
      <c r="B26" s="81"/>
      <c r="I26" s="92"/>
      <c r="K26" s="92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</row>
    <row r="27" spans="1:252" ht="23.1" customHeight="1" x14ac:dyDescent="0.6">
      <c r="B27" s="95"/>
      <c r="F27" s="206"/>
      <c r="H27" s="15"/>
    </row>
    <row r="28" spans="1:252" ht="23.1" customHeight="1" x14ac:dyDescent="0.6">
      <c r="A28" s="15"/>
      <c r="F28" s="206"/>
      <c r="H28" s="97"/>
    </row>
    <row r="29" spans="1:252" ht="23.1" customHeight="1" x14ac:dyDescent="0.6">
      <c r="A29" s="15"/>
      <c r="G29" s="207" t="s">
        <v>50</v>
      </c>
      <c r="H29" s="208" t="str">
        <f>'ปร.4 '!J41</f>
        <v>นาย ชายชาญ  ชื่นมีศรี</v>
      </c>
    </row>
    <row r="30" spans="1:252" ht="23.1" customHeight="1" x14ac:dyDescent="0.6">
      <c r="A30" s="104"/>
      <c r="B30" s="79"/>
      <c r="C30" s="79"/>
      <c r="D30" s="79"/>
      <c r="E30" s="79"/>
      <c r="G30" s="209"/>
      <c r="H30" s="208" t="str">
        <f>'ปร.4 '!J42</f>
        <v xml:space="preserve"> สิงหาคม 2567</v>
      </c>
    </row>
    <row r="31" spans="1:252" ht="23.1" customHeight="1" x14ac:dyDescent="0.6">
      <c r="A31" s="210"/>
      <c r="B31" s="211"/>
      <c r="C31" s="211"/>
      <c r="D31" s="211"/>
      <c r="E31" s="211"/>
      <c r="H31" s="212"/>
    </row>
    <row r="32" spans="1:252" ht="15" customHeight="1" x14ac:dyDescent="0.6">
      <c r="A32" s="136"/>
      <c r="B32" s="15"/>
      <c r="C32" s="15"/>
      <c r="D32" s="15"/>
      <c r="E32" s="15"/>
      <c r="H32" s="13"/>
    </row>
    <row r="33" spans="1:252" ht="23.1" customHeight="1" x14ac:dyDescent="0.6">
      <c r="A33" s="1"/>
      <c r="H33" s="213"/>
    </row>
    <row r="34" spans="1:252" ht="23.1" customHeight="1" x14ac:dyDescent="0.6">
      <c r="H34" s="120"/>
    </row>
    <row r="35" spans="1:252" ht="23.1" customHeight="1" x14ac:dyDescent="0.6">
      <c r="A35" s="1"/>
      <c r="B35" s="15"/>
      <c r="C35" s="15"/>
      <c r="D35" s="15"/>
      <c r="E35" s="15"/>
    </row>
    <row r="36" spans="1:252" ht="23.1" customHeight="1" x14ac:dyDescent="0.6">
      <c r="A36" s="220"/>
      <c r="B36" s="221"/>
      <c r="C36" s="214"/>
      <c r="D36" s="214"/>
      <c r="E36" s="214"/>
      <c r="F36" s="1"/>
      <c r="H36" s="221"/>
    </row>
    <row r="37" spans="1:252" ht="23.1" customHeight="1" x14ac:dyDescent="0.6">
      <c r="A37" s="218"/>
      <c r="B37" s="218"/>
      <c r="C37" s="84"/>
      <c r="D37" s="84"/>
      <c r="E37" s="84"/>
      <c r="F37" s="1"/>
      <c r="G37" s="124"/>
      <c r="H37" s="218"/>
    </row>
    <row r="38" spans="1:252" s="127" customFormat="1" ht="23.1" customHeight="1" x14ac:dyDescent="0.6">
      <c r="A38" s="15"/>
      <c r="B38" s="2"/>
      <c r="C38" s="2"/>
      <c r="D38" s="2"/>
      <c r="E38" s="2"/>
      <c r="F38" s="215"/>
      <c r="G38" s="125"/>
      <c r="H38" s="126"/>
      <c r="I38" s="2"/>
      <c r="J38" s="2"/>
      <c r="K38" s="2"/>
      <c r="L38" s="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</row>
    <row r="39" spans="1:252" s="129" customFormat="1" ht="23.1" customHeight="1" x14ac:dyDescent="0.6">
      <c r="A39" s="15"/>
      <c r="B39" s="2"/>
      <c r="C39" s="2"/>
      <c r="D39" s="2"/>
      <c r="E39" s="2"/>
      <c r="F39" s="216"/>
      <c r="G39" s="128"/>
      <c r="H39" s="126"/>
      <c r="I39" s="2"/>
      <c r="J39" s="2"/>
      <c r="K39" s="2"/>
      <c r="L39" s="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</row>
    <row r="40" spans="1:252" s="129" customFormat="1" ht="23.1" customHeight="1" x14ac:dyDescent="0.6">
      <c r="A40" s="15"/>
      <c r="B40" s="2"/>
      <c r="C40" s="2"/>
      <c r="D40" s="2"/>
      <c r="E40" s="2"/>
      <c r="F40" s="215"/>
      <c r="G40" s="125"/>
      <c r="H40" s="126"/>
      <c r="I40" s="2"/>
      <c r="J40" s="2"/>
      <c r="K40" s="2"/>
      <c r="L40" s="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</row>
    <row r="41" spans="1:252" s="129" customFormat="1" ht="23.1" customHeight="1" x14ac:dyDescent="0.6">
      <c r="A41" s="15"/>
      <c r="B41" s="2"/>
      <c r="C41" s="2"/>
      <c r="D41" s="2"/>
      <c r="E41" s="2"/>
      <c r="F41" s="215"/>
      <c r="G41" s="125"/>
      <c r="H41" s="126"/>
      <c r="I41" s="2"/>
      <c r="J41" s="2"/>
      <c r="K41" s="2"/>
      <c r="L41" s="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</row>
    <row r="42" spans="1:252" s="129" customFormat="1" ht="23.1" customHeight="1" x14ac:dyDescent="0.6">
      <c r="A42" s="15"/>
      <c r="B42" s="2"/>
      <c r="C42" s="2"/>
      <c r="D42" s="2"/>
      <c r="E42" s="2"/>
      <c r="F42" s="216"/>
      <c r="G42" s="128"/>
      <c r="H42" s="126"/>
      <c r="I42" s="2"/>
      <c r="J42" s="2"/>
      <c r="K42" s="2"/>
      <c r="L42" s="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</row>
    <row r="43" spans="1:252" s="129" customFormat="1" ht="23.1" customHeight="1" x14ac:dyDescent="0.6">
      <c r="A43" s="15"/>
      <c r="B43" s="2"/>
      <c r="C43" s="2"/>
      <c r="D43" s="2"/>
      <c r="E43" s="2"/>
      <c r="F43" s="215"/>
      <c r="G43" s="125"/>
      <c r="H43" s="126"/>
      <c r="I43" s="2"/>
      <c r="J43" s="2"/>
      <c r="K43" s="2"/>
      <c r="L43" s="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</row>
    <row r="44" spans="1:252" s="129" customFormat="1" ht="23.1" customHeight="1" x14ac:dyDescent="0.6">
      <c r="A44" s="15"/>
      <c r="B44" s="2"/>
      <c r="C44" s="2"/>
      <c r="D44" s="2"/>
      <c r="E44" s="2"/>
      <c r="F44" s="215"/>
      <c r="G44" s="125"/>
      <c r="H44" s="126"/>
      <c r="I44" s="2"/>
      <c r="J44" s="2"/>
      <c r="K44" s="2"/>
      <c r="L44" s="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</row>
    <row r="45" spans="1:252" s="129" customFormat="1" ht="23.1" customHeight="1" x14ac:dyDescent="0.6">
      <c r="A45" s="15"/>
      <c r="B45" s="2"/>
      <c r="C45" s="2"/>
      <c r="D45" s="2"/>
      <c r="E45" s="2"/>
      <c r="F45" s="215"/>
      <c r="G45" s="125"/>
      <c r="H45" s="126"/>
      <c r="I45" s="2"/>
      <c r="J45" s="2"/>
      <c r="K45" s="2"/>
      <c r="L45" s="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</row>
    <row r="46" spans="1:252" s="129" customFormat="1" ht="23.1" customHeight="1" x14ac:dyDescent="0.6">
      <c r="A46" s="15"/>
      <c r="B46" s="2"/>
      <c r="C46" s="2"/>
      <c r="D46" s="2"/>
      <c r="E46" s="2"/>
      <c r="F46" s="215"/>
      <c r="G46" s="125"/>
      <c r="H46" s="126"/>
      <c r="I46" s="2"/>
      <c r="J46" s="2"/>
      <c r="K46" s="2"/>
      <c r="L46" s="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</row>
    <row r="47" spans="1:252" s="129" customFormat="1" ht="23.1" customHeight="1" x14ac:dyDescent="0.6">
      <c r="A47" s="15"/>
      <c r="B47" s="2"/>
      <c r="C47" s="2"/>
      <c r="D47" s="2"/>
      <c r="E47" s="2"/>
      <c r="F47" s="215"/>
      <c r="G47" s="125"/>
      <c r="H47" s="126"/>
      <c r="I47" s="2"/>
      <c r="J47" s="2"/>
      <c r="K47" s="2"/>
      <c r="L47" s="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</row>
    <row r="48" spans="1:252" s="129" customFormat="1" ht="23.1" customHeight="1" x14ac:dyDescent="0.6">
      <c r="A48" s="15"/>
      <c r="B48" s="2"/>
      <c r="C48" s="2"/>
      <c r="D48" s="2"/>
      <c r="E48" s="2"/>
      <c r="F48" s="215"/>
      <c r="G48" s="125"/>
      <c r="H48" s="126"/>
      <c r="I48" s="2"/>
      <c r="J48" s="2"/>
      <c r="K48" s="2"/>
      <c r="L48" s="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</row>
    <row r="49" spans="1:252" s="129" customFormat="1" ht="23.1" customHeight="1" x14ac:dyDescent="0.6">
      <c r="A49" s="15"/>
      <c r="B49" s="124"/>
      <c r="C49" s="124"/>
      <c r="D49" s="124"/>
      <c r="E49" s="124"/>
      <c r="F49" s="215"/>
      <c r="G49" s="125"/>
      <c r="H49" s="126"/>
      <c r="I49" s="2"/>
      <c r="J49" s="2"/>
      <c r="K49" s="2"/>
      <c r="L49" s="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</row>
    <row r="50" spans="1:252" s="129" customFormat="1" ht="23.1" customHeight="1" x14ac:dyDescent="0.6">
      <c r="A50" s="131"/>
      <c r="B50" s="2"/>
      <c r="C50" s="2"/>
      <c r="D50" s="2"/>
      <c r="E50" s="2"/>
      <c r="F50" s="215"/>
      <c r="G50" s="125"/>
      <c r="H50" s="126"/>
      <c r="I50" s="2"/>
      <c r="J50" s="2"/>
      <c r="K50" s="2"/>
      <c r="L50" s="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</row>
    <row r="51" spans="1:252" s="129" customFormat="1" ht="23.1" customHeight="1" x14ac:dyDescent="0.6">
      <c r="A51" s="15"/>
      <c r="B51" s="2"/>
      <c r="C51" s="2"/>
      <c r="D51" s="2"/>
      <c r="E51" s="2"/>
      <c r="F51" s="215"/>
      <c r="G51" s="125"/>
      <c r="H51" s="126"/>
      <c r="I51" s="2"/>
      <c r="J51" s="2"/>
      <c r="K51" s="2"/>
      <c r="L51" s="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</row>
    <row r="52" spans="1:252" s="129" customFormat="1" ht="23.1" customHeight="1" x14ac:dyDescent="0.6">
      <c r="A52" s="131"/>
      <c r="B52" s="2"/>
      <c r="C52" s="2"/>
      <c r="D52" s="2"/>
      <c r="E52" s="2"/>
      <c r="F52" s="215"/>
      <c r="G52" s="125"/>
      <c r="H52" s="126"/>
      <c r="I52" s="2"/>
      <c r="J52" s="2"/>
      <c r="K52" s="2"/>
      <c r="L52" s="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</row>
    <row r="53" spans="1:252" ht="23.1" customHeight="1" x14ac:dyDescent="0.6">
      <c r="A53" s="15"/>
      <c r="F53" s="215"/>
      <c r="G53" s="125"/>
      <c r="H53" s="126"/>
    </row>
    <row r="54" spans="1:252" ht="23.1" customHeight="1" x14ac:dyDescent="0.6">
      <c r="A54" s="15"/>
      <c r="B54" s="132"/>
      <c r="C54" s="132"/>
      <c r="D54" s="132"/>
      <c r="E54" s="132"/>
      <c r="F54" s="215"/>
      <c r="G54" s="125"/>
      <c r="H54" s="126"/>
    </row>
    <row r="55" spans="1:252" ht="23.1" customHeight="1" x14ac:dyDescent="0.6">
      <c r="A55" s="131"/>
      <c r="B55" s="133"/>
      <c r="C55" s="133"/>
      <c r="D55" s="133"/>
      <c r="E55" s="133"/>
      <c r="F55" s="215"/>
      <c r="G55" s="125"/>
      <c r="H55" s="126"/>
    </row>
    <row r="56" spans="1:252" ht="23.1" customHeight="1" x14ac:dyDescent="0.6">
      <c r="A56" s="15"/>
      <c r="F56" s="215"/>
      <c r="G56" s="125"/>
      <c r="H56" s="126"/>
    </row>
    <row r="57" spans="1:252" ht="23.1" customHeight="1" x14ac:dyDescent="0.6">
      <c r="A57" s="15"/>
      <c r="B57" s="132"/>
      <c r="C57" s="132"/>
      <c r="D57" s="132"/>
      <c r="E57" s="132"/>
      <c r="F57" s="215"/>
      <c r="G57" s="125"/>
      <c r="H57" s="126"/>
    </row>
    <row r="58" spans="1:252" ht="23.1" customHeight="1" x14ac:dyDescent="0.6">
      <c r="A58" s="15"/>
      <c r="F58" s="215"/>
      <c r="G58" s="125"/>
      <c r="H58" s="126"/>
    </row>
    <row r="59" spans="1:252" ht="23.1" customHeight="1" x14ac:dyDescent="0.6">
      <c r="A59" s="135"/>
      <c r="B59" s="135"/>
      <c r="C59" s="135"/>
      <c r="D59" s="135"/>
      <c r="E59" s="135"/>
    </row>
    <row r="60" spans="1:252" ht="23.1" customHeight="1" x14ac:dyDescent="0.6">
      <c r="A60" s="136"/>
      <c r="B60" s="135"/>
      <c r="C60" s="135"/>
      <c r="D60" s="135"/>
      <c r="E60" s="135"/>
      <c r="G60" s="137"/>
      <c r="H60" s="137"/>
    </row>
    <row r="61" spans="1:252" ht="23.1" customHeight="1" x14ac:dyDescent="0.6">
      <c r="A61" s="136"/>
      <c r="B61" s="124"/>
      <c r="C61" s="124"/>
      <c r="D61" s="124"/>
      <c r="E61" s="124"/>
      <c r="G61" s="13"/>
      <c r="H61" s="13"/>
    </row>
    <row r="62" spans="1:252" ht="21" x14ac:dyDescent="0.6">
      <c r="A62" s="2"/>
    </row>
    <row r="63" spans="1:252" ht="21" x14ac:dyDescent="0.6">
      <c r="A63" s="2"/>
    </row>
    <row r="64" spans="1:252" s="129" customFormat="1" ht="21" x14ac:dyDescent="0.6">
      <c r="A64" s="2"/>
      <c r="B64" s="2"/>
      <c r="C64" s="2"/>
      <c r="D64" s="2"/>
      <c r="E64" s="2"/>
      <c r="F64" s="132"/>
      <c r="G64" s="2"/>
      <c r="H64" s="2"/>
      <c r="I64" s="2"/>
      <c r="J64" s="2"/>
      <c r="K64" s="2"/>
      <c r="L64" s="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</row>
    <row r="65" spans="1:242" s="129" customFormat="1" ht="21" x14ac:dyDescent="0.6">
      <c r="A65" s="2"/>
      <c r="B65" s="2"/>
      <c r="C65" s="2"/>
      <c r="D65" s="2"/>
      <c r="E65" s="2"/>
      <c r="F65" s="132"/>
      <c r="G65" s="2"/>
      <c r="H65" s="2"/>
      <c r="I65" s="2"/>
      <c r="J65" s="2"/>
      <c r="K65" s="2"/>
      <c r="L65" s="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</row>
    <row r="66" spans="1:242" s="129" customFormat="1" ht="21" x14ac:dyDescent="0.6">
      <c r="A66" s="2"/>
      <c r="B66" s="2"/>
      <c r="C66" s="2"/>
      <c r="D66" s="2"/>
      <c r="E66" s="2"/>
      <c r="F66" s="132"/>
      <c r="G66" s="2"/>
      <c r="H66" s="2"/>
      <c r="I66" s="2"/>
      <c r="J66" s="2"/>
      <c r="K66" s="2"/>
      <c r="L66" s="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</row>
    <row r="67" spans="1:242" s="129" customFormat="1" ht="21" x14ac:dyDescent="0.6">
      <c r="A67" s="2"/>
      <c r="B67" s="2"/>
      <c r="C67" s="2"/>
      <c r="D67" s="2"/>
      <c r="E67" s="2"/>
      <c r="F67" s="132"/>
      <c r="G67" s="2"/>
      <c r="H67" s="2"/>
      <c r="I67" s="2"/>
      <c r="J67" s="2"/>
      <c r="K67" s="2"/>
      <c r="L67" s="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</row>
    <row r="68" spans="1:242" s="129" customFormat="1" ht="21" x14ac:dyDescent="0.6">
      <c r="A68" s="2"/>
      <c r="B68" s="2"/>
      <c r="C68" s="2"/>
      <c r="D68" s="2"/>
      <c r="E68" s="2"/>
      <c r="F68" s="132"/>
      <c r="G68" s="2"/>
      <c r="H68" s="2"/>
      <c r="I68" s="2"/>
      <c r="J68" s="2"/>
      <c r="K68" s="2"/>
      <c r="L68" s="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</row>
    <row r="69" spans="1:242" s="129" customFormat="1" ht="21" x14ac:dyDescent="0.6">
      <c r="A69" s="2"/>
      <c r="B69" s="2"/>
      <c r="C69" s="2"/>
      <c r="D69" s="2"/>
      <c r="E69" s="2"/>
      <c r="F69" s="132"/>
      <c r="G69" s="2"/>
      <c r="H69" s="2"/>
      <c r="I69" s="2"/>
      <c r="J69" s="2"/>
      <c r="K69" s="2"/>
      <c r="L69" s="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</row>
    <row r="70" spans="1:242" s="129" customFormat="1" ht="21" x14ac:dyDescent="0.6">
      <c r="A70" s="2"/>
      <c r="B70" s="2"/>
      <c r="C70" s="2"/>
      <c r="D70" s="2"/>
      <c r="E70" s="2"/>
      <c r="F70" s="132"/>
      <c r="G70" s="2"/>
      <c r="H70" s="2"/>
      <c r="I70" s="2"/>
      <c r="J70" s="2"/>
      <c r="K70" s="2"/>
      <c r="L70" s="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</row>
    <row r="71" spans="1:242" s="129" customFormat="1" ht="21" x14ac:dyDescent="0.6">
      <c r="A71" s="2"/>
      <c r="B71" s="2"/>
      <c r="C71" s="2"/>
      <c r="D71" s="2"/>
      <c r="E71" s="2"/>
      <c r="F71" s="132"/>
      <c r="G71" s="2"/>
      <c r="H71" s="2"/>
      <c r="I71" s="2"/>
      <c r="J71" s="2"/>
      <c r="K71" s="2"/>
      <c r="L71" s="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</row>
    <row r="72" spans="1:242" s="129" customFormat="1" ht="21" x14ac:dyDescent="0.6">
      <c r="A72" s="2"/>
      <c r="B72" s="2"/>
      <c r="C72" s="2"/>
      <c r="D72" s="2"/>
      <c r="E72" s="2"/>
      <c r="F72" s="132"/>
      <c r="G72" s="2"/>
      <c r="H72" s="2"/>
      <c r="I72" s="2"/>
      <c r="J72" s="2"/>
      <c r="K72" s="2"/>
      <c r="L72" s="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</row>
    <row r="73" spans="1:242" s="129" customFormat="1" ht="21" x14ac:dyDescent="0.6">
      <c r="A73" s="2"/>
      <c r="B73" s="2"/>
      <c r="C73" s="2"/>
      <c r="D73" s="2"/>
      <c r="E73" s="2"/>
      <c r="F73" s="132"/>
      <c r="G73" s="2"/>
      <c r="H73" s="2"/>
      <c r="I73" s="2"/>
      <c r="J73" s="2"/>
      <c r="K73" s="2"/>
      <c r="L73" s="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</row>
    <row r="74" spans="1:242" s="129" customFormat="1" ht="21" x14ac:dyDescent="0.6">
      <c r="A74" s="2"/>
      <c r="B74" s="2"/>
      <c r="C74" s="2"/>
      <c r="D74" s="2"/>
      <c r="E74" s="2"/>
      <c r="F74" s="132"/>
      <c r="G74" s="2"/>
      <c r="H74" s="2"/>
      <c r="I74" s="2"/>
      <c r="J74" s="2"/>
      <c r="K74" s="2"/>
      <c r="L74" s="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</row>
    <row r="75" spans="1:242" ht="21" x14ac:dyDescent="0.6">
      <c r="A75" s="2"/>
    </row>
    <row r="76" spans="1:242" ht="21" x14ac:dyDescent="0.6">
      <c r="A76" s="2"/>
    </row>
    <row r="77" spans="1:242" ht="21" x14ac:dyDescent="0.6">
      <c r="A77" s="2"/>
    </row>
    <row r="78" spans="1:242" ht="21" x14ac:dyDescent="0.6">
      <c r="A78" s="2"/>
    </row>
    <row r="79" spans="1:242" s="129" customFormat="1" ht="21" x14ac:dyDescent="0.6">
      <c r="A79" s="2"/>
      <c r="B79" s="2"/>
      <c r="C79" s="2"/>
      <c r="D79" s="2"/>
      <c r="E79" s="2"/>
      <c r="F79" s="132"/>
      <c r="G79" s="2"/>
      <c r="H79" s="2"/>
      <c r="I79" s="2"/>
      <c r="J79" s="2"/>
      <c r="K79" s="2"/>
      <c r="L79" s="2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</row>
    <row r="80" spans="1:242" s="129" customFormat="1" ht="21" x14ac:dyDescent="0.6">
      <c r="A80" s="2"/>
      <c r="B80" s="2"/>
      <c r="C80" s="2"/>
      <c r="D80" s="2"/>
      <c r="E80" s="2"/>
      <c r="F80" s="132"/>
      <c r="G80" s="2"/>
      <c r="H80" s="2"/>
      <c r="I80" s="2"/>
      <c r="J80" s="2"/>
      <c r="K80" s="2"/>
      <c r="L80" s="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</row>
    <row r="81" spans="1:1" ht="21" x14ac:dyDescent="0.6">
      <c r="A81" s="2"/>
    </row>
    <row r="82" spans="1:1" ht="21" x14ac:dyDescent="0.6">
      <c r="A82" s="2"/>
    </row>
    <row r="83" spans="1:1" ht="21" x14ac:dyDescent="0.6">
      <c r="A83" s="2"/>
    </row>
    <row r="84" spans="1:1" ht="21" x14ac:dyDescent="0.6">
      <c r="A84" s="2"/>
    </row>
    <row r="85" spans="1:1" ht="21" x14ac:dyDescent="0.6">
      <c r="A85" s="2"/>
    </row>
    <row r="86" spans="1:1" ht="21" x14ac:dyDescent="0.6">
      <c r="A86" s="2"/>
    </row>
    <row r="87" spans="1:1" ht="21" x14ac:dyDescent="0.6">
      <c r="A87" s="2"/>
    </row>
    <row r="88" spans="1:1" ht="21" x14ac:dyDescent="0.6">
      <c r="A88" s="2"/>
    </row>
    <row r="89" spans="1:1" ht="21" x14ac:dyDescent="0.6">
      <c r="A89" s="2"/>
    </row>
    <row r="90" spans="1:1" ht="21" x14ac:dyDescent="0.6">
      <c r="A90" s="2"/>
    </row>
    <row r="91" spans="1:1" ht="21" x14ac:dyDescent="0.6">
      <c r="A91" s="2"/>
    </row>
    <row r="92" spans="1:1" ht="21" x14ac:dyDescent="0.6">
      <c r="A92" s="2"/>
    </row>
    <row r="93" spans="1:1" ht="21" x14ac:dyDescent="0.6">
      <c r="A93" s="2"/>
    </row>
    <row r="94" spans="1:1" ht="21" x14ac:dyDescent="0.6">
      <c r="A94" s="2"/>
    </row>
    <row r="95" spans="1:1" ht="21" x14ac:dyDescent="0.6">
      <c r="A95" s="2"/>
    </row>
    <row r="96" spans="1:1" ht="21" x14ac:dyDescent="0.6">
      <c r="A96" s="2"/>
    </row>
    <row r="97" spans="1:242" ht="21" x14ac:dyDescent="0.6">
      <c r="A97" s="2"/>
    </row>
    <row r="98" spans="1:242" ht="21" x14ac:dyDescent="0.6">
      <c r="A98" s="2"/>
    </row>
    <row r="99" spans="1:242" ht="21" x14ac:dyDescent="0.6">
      <c r="A99" s="2"/>
    </row>
    <row r="100" spans="1:242" ht="21" x14ac:dyDescent="0.6">
      <c r="A100" s="2"/>
    </row>
    <row r="101" spans="1:242" ht="21" x14ac:dyDescent="0.6">
      <c r="A101" s="2"/>
    </row>
    <row r="102" spans="1:242" ht="21" x14ac:dyDescent="0.6">
      <c r="A102" s="2"/>
    </row>
    <row r="103" spans="1:242" ht="21" x14ac:dyDescent="0.6">
      <c r="A103" s="2"/>
    </row>
    <row r="104" spans="1:242" ht="21" x14ac:dyDescent="0.6">
      <c r="A104" s="2"/>
    </row>
    <row r="105" spans="1:242" ht="21" x14ac:dyDescent="0.6">
      <c r="A105" s="2"/>
    </row>
    <row r="106" spans="1:242" s="129" customFormat="1" ht="21" x14ac:dyDescent="0.6">
      <c r="A106" s="2"/>
      <c r="B106" s="2"/>
      <c r="C106" s="2"/>
      <c r="D106" s="2"/>
      <c r="E106" s="2"/>
      <c r="F106" s="132"/>
      <c r="G106" s="2"/>
      <c r="H106" s="2"/>
      <c r="I106" s="2"/>
      <c r="J106" s="2"/>
      <c r="K106" s="2"/>
      <c r="L106" s="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</row>
    <row r="107" spans="1:242" ht="21" x14ac:dyDescent="0.6">
      <c r="A107" s="2"/>
    </row>
    <row r="108" spans="1:242" ht="21" x14ac:dyDescent="0.6">
      <c r="A108" s="2"/>
    </row>
    <row r="109" spans="1:242" ht="21" x14ac:dyDescent="0.6">
      <c r="A109" s="2"/>
    </row>
    <row r="110" spans="1:242" ht="21" x14ac:dyDescent="0.6">
      <c r="A110" s="2"/>
    </row>
    <row r="111" spans="1:242" ht="21" x14ac:dyDescent="0.6">
      <c r="A111" s="2"/>
    </row>
    <row r="112" spans="1:242" ht="21" x14ac:dyDescent="0.6">
      <c r="A112" s="2"/>
    </row>
    <row r="113" spans="1:1" ht="21" x14ac:dyDescent="0.6">
      <c r="A113" s="2"/>
    </row>
    <row r="114" spans="1:1" ht="21" x14ac:dyDescent="0.6">
      <c r="A114" s="2"/>
    </row>
    <row r="115" spans="1:1" ht="21" x14ac:dyDescent="0.6">
      <c r="A115" s="2"/>
    </row>
    <row r="116" spans="1:1" ht="21" x14ac:dyDescent="0.6">
      <c r="A116" s="2"/>
    </row>
    <row r="117" spans="1:1" ht="21" x14ac:dyDescent="0.6">
      <c r="A117" s="2"/>
    </row>
    <row r="118" spans="1:1" ht="21" x14ac:dyDescent="0.6">
      <c r="A118" s="2"/>
    </row>
    <row r="119" spans="1:1" ht="21" x14ac:dyDescent="0.6">
      <c r="A119" s="2"/>
    </row>
    <row r="120" spans="1:1" ht="21" x14ac:dyDescent="0.6">
      <c r="A120" s="2"/>
    </row>
  </sheetData>
  <mergeCells count="11">
    <mergeCell ref="A3:H3"/>
    <mergeCell ref="A7:A8"/>
    <mergeCell ref="B7:B8"/>
    <mergeCell ref="H7:H8"/>
    <mergeCell ref="A36:A37"/>
    <mergeCell ref="B36:B37"/>
    <mergeCell ref="H36:H37"/>
    <mergeCell ref="C7:C8"/>
    <mergeCell ref="C23:G23"/>
    <mergeCell ref="D7:D8"/>
    <mergeCell ref="E7:E8"/>
  </mergeCells>
  <printOptions horizontalCentered="1"/>
  <pageMargins left="0" right="0" top="0.23622047244094488" bottom="0" header="0.31496062992125984" footer="0.31496062992125984"/>
  <pageSetup paperSize="9" scale="9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ปร.4 </vt:lpstr>
      <vt:lpstr>สรุป</vt:lpstr>
      <vt:lpstr>'ปร.4 '!Print_Area</vt:lpstr>
      <vt:lpstr>สรุป!Print_Area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องค์การโทรศัพท์แห่งประเทศไทย</dc:creator>
  <cp:lastModifiedBy>Suthorn Kaewkorn</cp:lastModifiedBy>
  <cp:lastPrinted>2024-08-28T08:05:04Z</cp:lastPrinted>
  <dcterms:created xsi:type="dcterms:W3CDTF">1998-10-16T02:08:20Z</dcterms:created>
  <dcterms:modified xsi:type="dcterms:W3CDTF">2024-10-03T04:45:41Z</dcterms:modified>
</cp:coreProperties>
</file>