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7ab99a64546faa0/NT/2.TOR/0.TOR STARTER PACK/"/>
    </mc:Choice>
  </mc:AlternateContent>
  <xr:revisionPtr revIDLastSave="237" documentId="13_ncr:1_{A0CE6ECB-197D-49DB-989F-86BC634E62C4}" xr6:coauthVersionLast="47" xr6:coauthVersionMax="47" xr10:uidLastSave="{F5833FB9-28FE-4422-9C15-FA3FA764023B}"/>
  <bookViews>
    <workbookView xWindow="-120" yWindow="-120" windowWidth="29040" windowHeight="15840" firstSheet="2" activeTab="2" xr2:uid="{00000000-000D-0000-FFFF-FFFF00000000}"/>
  </bookViews>
  <sheets>
    <sheet name="Recovered_Sheet1" sheetId="17" state="veryHidden" r:id="rId1"/>
    <sheet name="000000" sheetId="18" state="veryHidden" r:id="rId2"/>
    <sheet name="ปร.4" sheetId="104" r:id="rId3"/>
    <sheet name="ปร.5(ก)สรุปค่าก่อสร้าง=1  (2)" sheetId="99" r:id="rId4"/>
    <sheet name="ปร.6 (สรุป N! รวม)=1 (2)" sheetId="101" r:id="rId5"/>
  </sheets>
  <definedNames>
    <definedName name="_xlnm.Print_Area" localSheetId="2">ปร.4!$A$1:$J$40</definedName>
    <definedName name="_xlnm.Print_Area" localSheetId="3">'ปร.5(ก)สรุปค่าก่อสร้าง=1  (2)'!$A$1:$O$32</definedName>
    <definedName name="_xlnm.Print_Area" localSheetId="4">'ปร.6 (สรุป N! รวม)=1 (2)'!$A$1:$N$26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04" l="1"/>
  <c r="F23" i="104"/>
  <c r="H22" i="104"/>
  <c r="F22" i="104"/>
  <c r="I22" i="104" s="1"/>
  <c r="I23" i="104" l="1"/>
  <c r="H20" i="104" l="1"/>
  <c r="F20" i="104"/>
  <c r="I20" i="104" l="1"/>
  <c r="H17" i="104" l="1"/>
  <c r="F17" i="104"/>
  <c r="H13" i="104"/>
  <c r="F13" i="104"/>
  <c r="I13" i="104" s="1"/>
  <c r="H15" i="104"/>
  <c r="F15" i="104"/>
  <c r="J6" i="99"/>
  <c r="I13" i="99" s="1"/>
  <c r="D6" i="99"/>
  <c r="D6" i="101"/>
  <c r="F6" i="101"/>
  <c r="I17" i="104" l="1"/>
  <c r="I15" i="104"/>
  <c r="C13" i="99"/>
  <c r="D5" i="101" l="1"/>
  <c r="D5" i="99" l="1"/>
  <c r="C12" i="99" s="1"/>
  <c r="H11" i="104" l="1"/>
  <c r="H12" i="104"/>
  <c r="H14" i="104"/>
  <c r="F31" i="104" l="1"/>
  <c r="H29" i="104"/>
  <c r="F29" i="104"/>
  <c r="I29" i="104" l="1"/>
  <c r="H16" i="104" l="1"/>
  <c r="H18" i="104"/>
  <c r="H19" i="104"/>
  <c r="H21" i="104"/>
  <c r="H24" i="104"/>
  <c r="H25" i="104"/>
  <c r="H26" i="104"/>
  <c r="H27" i="104"/>
  <c r="H28" i="104"/>
  <c r="F12" i="104"/>
  <c r="I12" i="104" s="1"/>
  <c r="F14" i="104"/>
  <c r="F16" i="104"/>
  <c r="F18" i="104"/>
  <c r="F19" i="104"/>
  <c r="F21" i="104"/>
  <c r="F24" i="104"/>
  <c r="F25" i="104"/>
  <c r="F26" i="104"/>
  <c r="F27" i="104"/>
  <c r="F28" i="104"/>
  <c r="F11" i="104"/>
  <c r="F32" i="104" l="1"/>
  <c r="H32" i="104"/>
  <c r="I27" i="104"/>
  <c r="I21" i="104"/>
  <c r="I26" i="104"/>
  <c r="I19" i="104"/>
  <c r="I16" i="104"/>
  <c r="I18" i="104"/>
  <c r="I25" i="104"/>
  <c r="I28" i="104"/>
  <c r="I24" i="104"/>
  <c r="I14" i="104"/>
  <c r="I11" i="104"/>
  <c r="I32" i="104" l="1"/>
  <c r="L13" i="99" l="1"/>
  <c r="L19" i="99" s="1"/>
  <c r="L21" i="99" s="1"/>
  <c r="E24" i="99" s="1"/>
  <c r="E51" i="99"/>
  <c r="E50" i="99"/>
  <c r="E43" i="99"/>
  <c r="E47" i="99" l="1"/>
  <c r="E53" i="99" s="1"/>
  <c r="E46" i="99"/>
  <c r="M12" i="101"/>
  <c r="M17" i="101" s="1"/>
  <c r="M18" i="101" s="1"/>
  <c r="M19" i="101" s="1"/>
  <c r="E20" i="101" s="1"/>
</calcChain>
</file>

<file path=xl/sharedStrings.xml><?xml version="1.0" encoding="utf-8"?>
<sst xmlns="http://schemas.openxmlformats.org/spreadsheetml/2006/main" count="139" uniqueCount="97">
  <si>
    <t>หน้าที่ 1/1</t>
  </si>
  <si>
    <t>แบบฟอร์มแสดงรายการ ปริมาณงาน และราคางานจ้างเหมาก่อสร้างท่อร้อยสายสื่อสารใต้ดินและบ่อพัก (BOQ)</t>
  </si>
  <si>
    <t>บัญชีราคา งานจ้างเหมาก่อสร้างท่อร้อยสายสื่อสารใต้ดินและบ่อพัก</t>
  </si>
  <si>
    <t>เส้นทาง</t>
  </si>
  <si>
    <t>พื้นที่ก่อสร้าง</t>
  </si>
  <si>
    <t>หน่วย : บาท</t>
  </si>
  <si>
    <t>ลำดับที่</t>
  </si>
  <si>
    <t>รายการ</t>
  </si>
  <si>
    <t>ปริมาณงาน</t>
  </si>
  <si>
    <t>หน่วย</t>
  </si>
  <si>
    <t>ค่างานต้นทุน</t>
  </si>
  <si>
    <t>หมายเหตุ</t>
  </si>
  <si>
    <t>ราคา/หน่วย</t>
  </si>
  <si>
    <t xml:space="preserve">จำนวนเงิน </t>
  </si>
  <si>
    <t>(3)=(1)+(2)</t>
  </si>
  <si>
    <t>ม.</t>
  </si>
  <si>
    <t>จุด</t>
  </si>
  <si>
    <t>ต้น</t>
  </si>
  <si>
    <t>บ่อ</t>
  </si>
  <si>
    <t>งานซ่อมถนนแอสฟัลต์ชั่วคราว</t>
  </si>
  <si>
    <t>ผลรวมค่างานต้นทุนงานก่อสร้างท่อร้อยสายสื่อสารใต้ดินฯ</t>
  </si>
  <si>
    <t>เงื่อนไข</t>
  </si>
  <si>
    <t>Factor F งานก่อสร้างทาง, เงินล่วงหน้าจ่าย 0.00%, เงินประกันผลงานหัก 0.00%, ดอกเบี้ยเงินกู้ 7.00% ต่อปี, ค่าภาษีมูลค่าเพิ่ม 7.00%</t>
  </si>
  <si>
    <t>ข้อกำหนด</t>
  </si>
  <si>
    <t>รายการพร้อมปริมาณงานที่แสดงไว้เป็นวัตถุประสงค์สำคัญของแบบและขอบเขตงาน รวมทั้งเป็นส่วนหนึ่งของสัญญาห้ามแก้ไขก่อนได้รับการอนุมัติ</t>
  </si>
  <si>
    <t>ทั้งนี้ ราคางานโครงการ/งานก่อสร้าง ไม่ใช่ราคาค่าก่อสร้างที่แท้จริง แต่เป็นราคาโดยประมาณเท่านั้น</t>
  </si>
  <si>
    <t>แบบฟอร์ม สรุปรวมบัญชีราคาค่าจ้างเหมาก่อสร้างท่อร้อยสายสื่อสารใต้ดินและบ่อพัก</t>
  </si>
  <si>
    <t>ปร.5 (ก)</t>
  </si>
  <si>
    <t xml:space="preserve">ชื่อโครงการ/งานก่อสร้าง </t>
  </si>
  <si>
    <t xml:space="preserve">พื้นที่ก่อสร้าง </t>
  </si>
  <si>
    <t>หน่วยงานเจ้าของโครงการ/งานก่อสร้าง บริษัท โทรคมนาคมแห่งชาติ จำกัด (มหาชน)</t>
  </si>
  <si>
    <t>ราคาค่างานต้นทุน</t>
  </si>
  <si>
    <t>Factor F ระหว่างช่วงค่างานต้นทุนรวม</t>
  </si>
  <si>
    <t>ราคางานก่อสร้างแต่ละเส้นทาง</t>
  </si>
  <si>
    <t>ค่าก่อสร้างงานท่อร้อยสายสื่อสารใต้ดินและงานอื่น ๆ</t>
  </si>
  <si>
    <t>ราคาค่างานต้นทุนรวม ลำดับ 1 = (1)</t>
  </si>
  <si>
    <t>Factor F ระหว่างช่วงค่างานต้นทุนรวม (2)</t>
  </si>
  <si>
    <t>เงินรวมราคางานก่อสร้างทั้งโครงการ/งานก่อสร้าง ก่อนภาษี (1) x (2) = (3)</t>
  </si>
  <si>
    <t>)</t>
  </si>
  <si>
    <t>งานก่อสร้างหลายงานในโครงการเดียวกัน ให้เอาค่างานต้นทุนทั้งโครงการมารวมกันแล้วหาค่า F ของแต่ละหลักเกณฑ์การก่อสร้าง</t>
  </si>
  <si>
    <t>ค่างาน (ทุน) ล้านบาท</t>
  </si>
  <si>
    <t>รวมในรูป Factor</t>
  </si>
  <si>
    <t>ค่างานต้นทุนของงานจ้างครั้งนี้ เป็นเงิน</t>
  </si>
  <si>
    <t>บาท</t>
  </si>
  <si>
    <t>อยู่ระหว่างช่วงของค่างานต้นทุนที่กําหนด ดังนั้น</t>
  </si>
  <si>
    <t>A</t>
  </si>
  <si>
    <t>B</t>
  </si>
  <si>
    <t>C</t>
  </si>
  <si>
    <t>D</t>
  </si>
  <si>
    <t>E</t>
  </si>
  <si>
    <t>ค่า Factor F ของค่างานต้นทุน A = D - [(D-E) x (A-B)/(C-B)]</t>
  </si>
  <si>
    <t>Factor</t>
  </si>
  <si>
    <t>=</t>
  </si>
  <si>
    <t>แบบฟอร์ม สรุปรวมบัญชีประมาณราคา งานจ้างเหมาก่อสร้างท่อร้อยสายสื่อสารใต้ดินและบ่อพัก ทั้งโครงการ</t>
  </si>
  <si>
    <t>ปร.6</t>
  </si>
  <si>
    <t>ค่างานก่อสร้าง</t>
  </si>
  <si>
    <t>สรุป</t>
  </si>
  <si>
    <t>(1) ราคาก่อสร้างทั้งโครงการ/งานก่อสร้าง ก่อนภาษี</t>
  </si>
  <si>
    <t xml:space="preserve">(2) ภาษีมูลค่าเพิ่ม 7 % </t>
  </si>
  <si>
    <t>(3) = (1) + (2) รวมค่าก่อสร้างทั้งโครงการ/งานก่อสร้าง เป็นเงินทั้งสิ้น</t>
  </si>
  <si>
    <t>จำนวนเงินรวมทั้งสิ้น (</t>
  </si>
  <si>
    <t>งานซ่อมคันหิน ตามแบบมาตรฐานเลขที่ ถ. 620/29</t>
  </si>
  <si>
    <t>ตร.ม.</t>
  </si>
  <si>
    <t>งานทุบถนนผิวแอสฟัลต์</t>
  </si>
  <si>
    <r>
      <rPr>
        <b/>
        <sz val="14"/>
        <rFont val="TH Sarabun New"/>
        <family val="2"/>
      </rPr>
      <t>โครงการ</t>
    </r>
    <r>
      <rPr>
        <sz val="14"/>
        <rFont val="TH Sarabun New"/>
        <family val="2"/>
      </rPr>
      <t xml:space="preserve"> </t>
    </r>
  </si>
  <si>
    <r>
      <t xml:space="preserve">ค่าวัสดุ </t>
    </r>
    <r>
      <rPr>
        <sz val="14"/>
        <rFont val="TH Sarabun New"/>
        <family val="2"/>
      </rPr>
      <t>ไม่รวมภาษีมูลค่าเพิ่ม (1)</t>
    </r>
  </si>
  <si>
    <r>
      <t xml:space="preserve">ค่าแรง </t>
    </r>
    <r>
      <rPr>
        <sz val="14"/>
        <rFont val="TH Sarabun New"/>
        <family val="2"/>
      </rPr>
      <t>ไม่รวมภาษีมูลค่าเพิ่ม (2)</t>
    </r>
  </si>
  <si>
    <t>งานทุบถนนคอนกรีตเสริมเหล็ก</t>
  </si>
  <si>
    <t>งานปักเสาสื่อสารคอนกรีตเสริมเหล็ก ขนาด 8.00 ม.</t>
  </si>
  <si>
    <t>งานดันท่อลอด 2-Ø110 มม. HDPE PE80 PN10 (HDD) (Main Duct)</t>
  </si>
  <si>
    <t>งานวางท่อ 1-Ø3" PVC กลบทราย</t>
  </si>
  <si>
    <t>งานวางท่อ 2-Ø3" PVC กลบทราย (Riser)</t>
  </si>
  <si>
    <t>พื้นที่ก่อสร้าง เส้นทาง</t>
  </si>
  <si>
    <t xml:space="preserve">ประมาณราคา เมื่อวันที่ </t>
  </si>
  <si>
    <t>ส่วนงาน ส่วนวิศวกรรมท่อร้อยสาย (วทฐฐ.) ฝ่ายท่อร้อยสาย (ทฐฐ.)</t>
  </si>
  <si>
    <t>งานวางท่อ 1-Ø1½" PVC กลบทราย</t>
  </si>
  <si>
    <t>งานสร้างเสา STEEL POLE กัลวาไนต์ ขนาด 3"x3" ยาว 2.20 ม.</t>
  </si>
  <si>
    <t>ค่างานก่อสร้างท่อร้อยสายสื่อสารใต้ดินและงานอื่นๆ, (ปร.4)</t>
  </si>
  <si>
    <t xml:space="preserve">โครงการ </t>
  </si>
  <si>
    <t>มีจำนวน  1   หน้า</t>
  </si>
  <si>
    <t>แบบ ปร. 4  ที่แนบ</t>
  </si>
  <si>
    <t xml:space="preserve">แบบ ปร.4 จำนวน  1  หน้า, ปร.5 (ก) จำนวน   1   หน้า  และ ปร.6 จำนวน   1   หน้า  </t>
  </si>
  <si>
    <t>แบบ ปร.4</t>
  </si>
  <si>
    <t>จำนวนเงินเป็นตัวอักษร  (</t>
  </si>
  <si>
    <t>ปรับปรุงระบบจำหน่ายไฟฟ้าเป็นเคเบิลใต้ดิน</t>
  </si>
  <si>
    <t>ชส.ตะพานหิน จ.พิจิตร</t>
  </si>
  <si>
    <t>บริเวณเขตพื้นที่เทศบาลเมืองตะพานหิน อ.ตะพานหิน</t>
  </si>
  <si>
    <t>งานวางท่อ 2-Ø3" PVC กลบทราย (Main Duct)</t>
  </si>
  <si>
    <t xml:space="preserve">งานสร้างบ่อพักย่อย (PB) JUF-6 ฝาค.ส.ล.  2 ฝา </t>
  </si>
  <si>
    <t>งานสร้างบ่อพักย่อย (PB) JUF-6 ฝาเหล็ก  2 ฝา</t>
  </si>
  <si>
    <t>งานสร้างท่อโค้ง 2-Ø3" GIP ขึ้นเสา ตามแบบมาตรฐานเลขที่ 152</t>
  </si>
  <si>
    <t>งานสร้างท่อโค้ง RISER SERVICE 1-Ø50 มม. HDPE PE80 PN8 0.3 ม.</t>
  </si>
  <si>
    <t>ชุด</t>
  </si>
  <si>
    <t>งานเจาะผนังบ่อพัก (MH)</t>
  </si>
  <si>
    <t>งานซ่อมถนนคอนกรีตเสริมเหล็กหนา 0.20 ม. ตามแบบมาตรฐานเลขที่ 20/29</t>
  </si>
  <si>
    <t>งานซ่อมทางเท้าเทคอนกรีตรองรับแผ่นกระเบื้อง</t>
  </si>
  <si>
    <t xml:space="preserve">งานดันท่อลอด 1-Ø110 มม. HDPE PE80 PN10 (HDD)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</si>
</sst>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#,##0.0000"/>
    <numFmt numFmtId="168" formatCode="_(* #,##0.0000_);_(* \(#,##0.0000\);_(* &quot;-&quot;??_);_(@_)"/>
  </numFmts>
  <fonts count="21" x14ac:knownFonts="1">
    <font>
      <sz val="14"/>
      <name val="AngsanaUPC"/>
    </font>
    <font>
      <sz val="14"/>
      <name val="AngsanaUPC"/>
      <family val="1"/>
    </font>
    <font>
      <sz val="11"/>
      <color theme="1"/>
      <name val="Calibri"/>
      <family val="2"/>
      <scheme val="minor"/>
    </font>
    <font>
      <sz val="12"/>
      <name val="TH Sarabun New"/>
      <family val="2"/>
    </font>
    <font>
      <sz val="11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b/>
      <sz val="13"/>
      <name val="TH Sarabun New"/>
      <family val="2"/>
    </font>
    <font>
      <sz val="13"/>
      <name val="TH Sarabun New"/>
      <family val="2"/>
    </font>
    <font>
      <sz val="14"/>
      <color indexed="8"/>
      <name val="TH Sarabun New"/>
      <family val="2"/>
    </font>
    <font>
      <b/>
      <u val="singleAccounting"/>
      <sz val="14"/>
      <name val="TH Sarabun New"/>
      <family val="2"/>
    </font>
    <font>
      <b/>
      <u/>
      <sz val="13.5"/>
      <name val="TH Sarabun New"/>
      <family val="2"/>
    </font>
    <font>
      <sz val="13.5"/>
      <name val="TH Sarabun New"/>
      <family val="2"/>
    </font>
    <font>
      <b/>
      <sz val="14"/>
      <color indexed="8"/>
      <name val="TH Sarabun New"/>
      <family val="2"/>
    </font>
    <font>
      <sz val="15"/>
      <name val="TH Sarabun New"/>
      <family val="2"/>
    </font>
    <font>
      <sz val="16"/>
      <name val="TH Sarabun New"/>
      <family val="2"/>
    </font>
    <font>
      <b/>
      <u/>
      <sz val="13"/>
      <name val="TH Sarabun New"/>
      <family val="2"/>
    </font>
    <font>
      <b/>
      <sz val="12"/>
      <name val="TH Sarabun New"/>
      <family val="2"/>
    </font>
    <font>
      <sz val="13"/>
      <color theme="0"/>
      <name val="TH Sarabun New"/>
      <family val="2"/>
    </font>
    <font>
      <b/>
      <u val="double"/>
      <sz val="13"/>
      <name val="TH Sarabun New"/>
      <family val="2"/>
    </font>
    <font>
      <sz val="14"/>
      <color theme="0" tint="-4.9989318521683403E-2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1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61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7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4" fontId="8" fillId="0" borderId="4" xfId="0" applyNumberFormat="1" applyFont="1" applyBorder="1" applyAlignment="1">
      <alignment horizontal="center" vertical="center"/>
    </xf>
    <xf numFmtId="4" fontId="8" fillId="3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center"/>
    </xf>
    <xf numFmtId="164" fontId="6" fillId="2" borderId="21" xfId="1" applyFont="1" applyFill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43" fontId="6" fillId="2" borderId="30" xfId="1" applyNumberFormat="1" applyFont="1" applyFill="1" applyBorder="1" applyAlignment="1">
      <alignment vertical="center"/>
    </xf>
    <xf numFmtId="43" fontId="6" fillId="3" borderId="7" xfId="1" applyNumberFormat="1" applyFont="1" applyFill="1" applyBorder="1" applyAlignment="1">
      <alignment vertical="center"/>
    </xf>
    <xf numFmtId="43" fontId="10" fillId="3" borderId="7" xfId="1" applyNumberFormat="1" applyFont="1" applyFill="1" applyBorder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3" fillId="2" borderId="12" xfId="1" applyFont="1" applyFill="1" applyBorder="1"/>
    <xf numFmtId="0" fontId="3" fillId="0" borderId="12" xfId="0" applyFont="1" applyBorder="1" applyAlignment="1">
      <alignment horizontal="center"/>
    </xf>
    <xf numFmtId="164" fontId="3" fillId="0" borderId="6" xfId="1" applyFont="1" applyBorder="1" applyAlignment="1">
      <alignment horizontal="left"/>
    </xf>
    <xf numFmtId="164" fontId="3" fillId="0" borderId="6" xfId="1" applyFont="1" applyBorder="1"/>
    <xf numFmtId="164" fontId="3" fillId="0" borderId="12" xfId="1" applyFont="1" applyBorder="1"/>
    <xf numFmtId="0" fontId="3" fillId="0" borderId="6" xfId="0" applyFont="1" applyBorder="1" applyAlignment="1">
      <alignment horizontal="center"/>
    </xf>
    <xf numFmtId="0" fontId="3" fillId="0" borderId="0" xfId="0" applyFont="1"/>
    <xf numFmtId="166" fontId="11" fillId="0" borderId="0" xfId="0" applyNumberFormat="1" applyFont="1"/>
    <xf numFmtId="0" fontId="12" fillId="0" borderId="0" xfId="0" applyFont="1"/>
    <xf numFmtId="164" fontId="6" fillId="0" borderId="0" xfId="0" applyNumberFormat="1" applyFont="1"/>
    <xf numFmtId="0" fontId="12" fillId="0" borderId="0" xfId="0" applyFont="1" applyAlignment="1">
      <alignment horizontal="left"/>
    </xf>
    <xf numFmtId="4" fontId="6" fillId="0" borderId="0" xfId="0" applyNumberFormat="1" applyFont="1"/>
    <xf numFmtId="43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/>
    </xf>
    <xf numFmtId="164" fontId="6" fillId="2" borderId="0" xfId="1" applyFont="1" applyFill="1" applyBorder="1"/>
    <xf numFmtId="164" fontId="9" fillId="0" borderId="0" xfId="1" applyFont="1" applyBorder="1"/>
    <xf numFmtId="0" fontId="9" fillId="0" borderId="0" xfId="0" applyFont="1" applyAlignment="1">
      <alignment horizontal="center"/>
    </xf>
    <xf numFmtId="0" fontId="6" fillId="2" borderId="0" xfId="0" applyFont="1" applyFill="1"/>
    <xf numFmtId="164" fontId="13" fillId="0" borderId="0" xfId="1" applyFont="1" applyBorder="1"/>
    <xf numFmtId="0" fontId="6" fillId="0" borderId="5" xfId="0" applyFont="1" applyBorder="1"/>
    <xf numFmtId="165" fontId="6" fillId="2" borderId="0" xfId="1" applyNumberFormat="1" applyFont="1" applyFill="1" applyBorder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4" fontId="6" fillId="2" borderId="0" xfId="1" applyFont="1" applyFill="1" applyBorder="1" applyAlignment="1">
      <alignment horizontal="left"/>
    </xf>
    <xf numFmtId="0" fontId="4" fillId="0" borderId="0" xfId="0" applyFont="1"/>
    <xf numFmtId="166" fontId="4" fillId="0" borderId="0" xfId="0" applyNumberFormat="1" applyFont="1"/>
    <xf numFmtId="0" fontId="5" fillId="0" borderId="0" xfId="0" applyFont="1"/>
    <xf numFmtId="166" fontId="6" fillId="0" borderId="0" xfId="0" applyNumberFormat="1" applyFont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14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6" fontId="7" fillId="0" borderId="0" xfId="0" applyNumberFormat="1" applyFont="1" applyAlignment="1">
      <alignment horizontal="left" vertical="center"/>
    </xf>
    <xf numFmtId="0" fontId="15" fillId="3" borderId="0" xfId="0" applyFont="1" applyFill="1"/>
    <xf numFmtId="0" fontId="8" fillId="3" borderId="0" xfId="0" applyFont="1" applyFill="1" applyAlignment="1">
      <alignment vertical="center"/>
    </xf>
    <xf numFmtId="0" fontId="15" fillId="0" borderId="0" xfId="0" applyFont="1"/>
    <xf numFmtId="0" fontId="8" fillId="3" borderId="0" xfId="0" applyFont="1" applyFill="1"/>
    <xf numFmtId="0" fontId="15" fillId="0" borderId="0" xfId="0" applyFont="1" applyAlignment="1">
      <alignment vertical="center"/>
    </xf>
    <xf numFmtId="0" fontId="6" fillId="3" borderId="0" xfId="0" applyFont="1" applyFill="1" applyAlignment="1">
      <alignment horizontal="left"/>
    </xf>
    <xf numFmtId="0" fontId="7" fillId="4" borderId="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left" vertical="center" indent="1"/>
    </xf>
    <xf numFmtId="4" fontId="8" fillId="0" borderId="32" xfId="0" applyNumberFormat="1" applyFont="1" applyBorder="1"/>
    <xf numFmtId="4" fontId="8" fillId="0" borderId="14" xfId="0" applyNumberFormat="1" applyFont="1" applyBorder="1"/>
    <xf numFmtId="4" fontId="8" fillId="3" borderId="32" xfId="0" applyNumberFormat="1" applyFont="1" applyFill="1" applyBorder="1"/>
    <xf numFmtId="4" fontId="8" fillId="3" borderId="14" xfId="0" applyNumberFormat="1" applyFont="1" applyFill="1" applyBorder="1"/>
    <xf numFmtId="0" fontId="8" fillId="3" borderId="5" xfId="0" applyFont="1" applyFill="1" applyBorder="1"/>
    <xf numFmtId="4" fontId="8" fillId="0" borderId="4" xfId="0" applyNumberFormat="1" applyFont="1" applyBorder="1" applyAlignment="1">
      <alignment vertical="center"/>
    </xf>
    <xf numFmtId="167" fontId="8" fillId="0" borderId="19" xfId="0" applyNumberFormat="1" applyFont="1" applyBorder="1" applyAlignment="1">
      <alignment vertical="center"/>
    </xf>
    <xf numFmtId="4" fontId="8" fillId="3" borderId="4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167" fontId="8" fillId="3" borderId="19" xfId="0" applyNumberFormat="1" applyFont="1" applyFill="1" applyBorder="1" applyAlignment="1">
      <alignment vertical="center"/>
    </xf>
    <xf numFmtId="0" fontId="8" fillId="0" borderId="5" xfId="0" applyFont="1" applyBorder="1"/>
    <xf numFmtId="4" fontId="8" fillId="0" borderId="19" xfId="0" applyNumberFormat="1" applyFont="1" applyBorder="1"/>
    <xf numFmtId="4" fontId="8" fillId="0" borderId="4" xfId="0" applyNumberFormat="1" applyFont="1" applyBorder="1"/>
    <xf numFmtId="0" fontId="8" fillId="0" borderId="4" xfId="0" applyFont="1" applyBorder="1"/>
    <xf numFmtId="0" fontId="8" fillId="0" borderId="5" xfId="0" applyFont="1" applyBorder="1" applyAlignment="1">
      <alignment horizontal="left" vertical="center" indent="1"/>
    </xf>
    <xf numFmtId="0" fontId="8" fillId="0" borderId="5" xfId="0" applyFont="1" applyBorder="1" applyAlignment="1">
      <alignment vertical="center"/>
    </xf>
    <xf numFmtId="0" fontId="8" fillId="0" borderId="19" xfId="0" applyFont="1" applyBorder="1"/>
    <xf numFmtId="4" fontId="8" fillId="0" borderId="19" xfId="0" applyNumberFormat="1" applyFont="1" applyBorder="1" applyAlignment="1">
      <alignment vertical="center"/>
    </xf>
    <xf numFmtId="0" fontId="8" fillId="0" borderId="7" xfId="0" applyFont="1" applyBorder="1"/>
    <xf numFmtId="0" fontId="8" fillId="0" borderId="33" xfId="0" applyFont="1" applyBorder="1" applyAlignment="1">
      <alignment horizontal="left" vertical="center" indent="1"/>
    </xf>
    <xf numFmtId="0" fontId="8" fillId="0" borderId="33" xfId="0" applyFont="1" applyBorder="1"/>
    <xf numFmtId="0" fontId="8" fillId="0" borderId="33" xfId="0" applyFont="1" applyBorder="1" applyAlignment="1">
      <alignment vertical="center"/>
    </xf>
    <xf numFmtId="167" fontId="8" fillId="0" borderId="7" xfId="0" applyNumberFormat="1" applyFont="1" applyBorder="1" applyAlignment="1">
      <alignment vertical="center"/>
    </xf>
    <xf numFmtId="167" fontId="8" fillId="0" borderId="30" xfId="0" applyNumberFormat="1" applyFont="1" applyBorder="1" applyAlignment="1">
      <alignment vertical="center"/>
    </xf>
    <xf numFmtId="4" fontId="8" fillId="0" borderId="7" xfId="0" applyNumberFormat="1" applyFont="1" applyBorder="1"/>
    <xf numFmtId="4" fontId="8" fillId="0" borderId="30" xfId="0" applyNumberFormat="1" applyFont="1" applyBorder="1"/>
    <xf numFmtId="0" fontId="8" fillId="0" borderId="13" xfId="0" applyFont="1" applyBorder="1"/>
    <xf numFmtId="0" fontId="8" fillId="0" borderId="34" xfId="0" applyFont="1" applyBorder="1" applyAlignment="1">
      <alignment horizontal="left" vertical="center" indent="1"/>
    </xf>
    <xf numFmtId="0" fontId="8" fillId="0" borderId="34" xfId="0" applyFont="1" applyBorder="1"/>
    <xf numFmtId="4" fontId="16" fillId="0" borderId="13" xfId="0" applyNumberFormat="1" applyFont="1" applyBorder="1" applyAlignment="1">
      <alignment vertical="center"/>
    </xf>
    <xf numFmtId="4" fontId="16" fillId="0" borderId="35" xfId="0" applyNumberFormat="1" applyFont="1" applyBorder="1" applyAlignment="1">
      <alignment vertical="center"/>
    </xf>
    <xf numFmtId="4" fontId="8" fillId="0" borderId="35" xfId="0" applyNumberFormat="1" applyFont="1" applyBorder="1"/>
    <xf numFmtId="0" fontId="8" fillId="0" borderId="8" xfId="0" applyFont="1" applyBorder="1"/>
    <xf numFmtId="0" fontId="8" fillId="0" borderId="20" xfId="0" applyFont="1" applyBorder="1" applyAlignment="1">
      <alignment horizontal="left" vertical="center" indent="1"/>
    </xf>
    <xf numFmtId="0" fontId="8" fillId="0" borderId="20" xfId="0" applyFont="1" applyBorder="1"/>
    <xf numFmtId="4" fontId="8" fillId="0" borderId="8" xfId="0" applyNumberFormat="1" applyFont="1" applyBorder="1"/>
    <xf numFmtId="4" fontId="8" fillId="0" borderId="36" xfId="0" applyNumberFormat="1" applyFont="1" applyBorder="1"/>
    <xf numFmtId="0" fontId="8" fillId="0" borderId="6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6" fillId="0" borderId="2" xfId="0" applyFont="1" applyBorder="1"/>
    <xf numFmtId="0" fontId="7" fillId="4" borderId="17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 indent="2"/>
    </xf>
    <xf numFmtId="164" fontId="9" fillId="0" borderId="0" xfId="1" applyFont="1" applyBorder="1" applyAlignment="1">
      <alignment horizontal="left"/>
    </xf>
    <xf numFmtId="164" fontId="13" fillId="0" borderId="0" xfId="1" applyFont="1" applyBorder="1" applyAlignment="1">
      <alignment horizontal="left"/>
    </xf>
    <xf numFmtId="164" fontId="13" fillId="0" borderId="0" xfId="1" applyFont="1" applyBorder="1" applyAlignment="1">
      <alignment horizontal="center"/>
    </xf>
    <xf numFmtId="168" fontId="9" fillId="0" borderId="0" xfId="1" applyNumberFormat="1" applyFont="1" applyBorder="1" applyAlignment="1">
      <alignment horizontal="center" vertical="center"/>
    </xf>
    <xf numFmtId="164" fontId="9" fillId="0" borderId="0" xfId="1" applyFont="1" applyBorder="1" applyAlignment="1">
      <alignment horizontal="center" vertical="center"/>
    </xf>
    <xf numFmtId="168" fontId="9" fillId="0" borderId="0" xfId="1" applyNumberFormat="1" applyFont="1" applyBorder="1" applyAlignment="1"/>
    <xf numFmtId="164" fontId="9" fillId="0" borderId="0" xfId="1" applyFont="1" applyBorder="1" applyAlignment="1"/>
    <xf numFmtId="0" fontId="7" fillId="3" borderId="0" xfId="0" applyFont="1" applyFill="1" applyAlignment="1">
      <alignment horizontal="center" vertical="center"/>
    </xf>
    <xf numFmtId="0" fontId="8" fillId="3" borderId="4" xfId="0" applyFont="1" applyFill="1" applyBorder="1" applyAlignment="1">
      <alignment horizontal="left" vertical="center" indent="1"/>
    </xf>
    <xf numFmtId="4" fontId="8" fillId="3" borderId="8" xfId="0" applyNumberFormat="1" applyFont="1" applyFill="1" applyBorder="1"/>
    <xf numFmtId="164" fontId="8" fillId="3" borderId="4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18" fillId="3" borderId="5" xfId="0" applyNumberFormat="1" applyFont="1" applyFill="1" applyBorder="1" applyAlignment="1">
      <alignment horizontal="right" vertical="center"/>
    </xf>
    <xf numFmtId="0" fontId="18" fillId="3" borderId="5" xfId="0" applyFont="1" applyFill="1" applyBorder="1" applyAlignment="1">
      <alignment horizontal="right" vertical="center"/>
    </xf>
    <xf numFmtId="164" fontId="8" fillId="3" borderId="4" xfId="1" applyFont="1" applyFill="1" applyBorder="1" applyAlignment="1">
      <alignment horizontal="left" vertical="center" indent="1"/>
    </xf>
    <xf numFmtId="4" fontId="8" fillId="3" borderId="5" xfId="0" applyNumberFormat="1" applyFont="1" applyFill="1" applyBorder="1"/>
    <xf numFmtId="4" fontId="8" fillId="3" borderId="19" xfId="0" applyNumberFormat="1" applyFont="1" applyFill="1" applyBorder="1"/>
    <xf numFmtId="4" fontId="8" fillId="0" borderId="5" xfId="0" applyNumberFormat="1" applyFont="1" applyBorder="1"/>
    <xf numFmtId="0" fontId="8" fillId="0" borderId="22" xfId="0" applyFont="1" applyBorder="1"/>
    <xf numFmtId="0" fontId="3" fillId="0" borderId="23" xfId="0" applyFont="1" applyBorder="1" applyAlignment="1">
      <alignment horizontal="left" vertical="center" indent="1"/>
    </xf>
    <xf numFmtId="0" fontId="3" fillId="0" borderId="23" xfId="0" applyFont="1" applyBorder="1"/>
    <xf numFmtId="4" fontId="3" fillId="0" borderId="23" xfId="0" applyNumberFormat="1" applyFont="1" applyBorder="1"/>
    <xf numFmtId="4" fontId="3" fillId="0" borderId="24" xfId="0" applyNumberFormat="1" applyFont="1" applyBorder="1"/>
    <xf numFmtId="4" fontId="3" fillId="0" borderId="22" xfId="0" applyNumberFormat="1" applyFont="1" applyBorder="1"/>
    <xf numFmtId="0" fontId="3" fillId="0" borderId="4" xfId="0" applyFont="1" applyBorder="1"/>
    <xf numFmtId="0" fontId="8" fillId="0" borderId="26" xfId="0" applyFont="1" applyBorder="1"/>
    <xf numFmtId="0" fontId="8" fillId="0" borderId="27" xfId="0" applyFont="1" applyBorder="1"/>
    <xf numFmtId="4" fontId="7" fillId="0" borderId="29" xfId="0" applyNumberFormat="1" applyFont="1" applyBorder="1" applyAlignment="1">
      <alignment vertical="center"/>
    </xf>
    <xf numFmtId="0" fontId="15" fillId="0" borderId="15" xfId="0" applyFont="1" applyBorder="1"/>
    <xf numFmtId="0" fontId="8" fillId="0" borderId="18" xfId="0" applyFont="1" applyBorder="1"/>
    <xf numFmtId="4" fontId="7" fillId="0" borderId="4" xfId="0" applyNumberFormat="1" applyFont="1" applyBorder="1" applyAlignment="1">
      <alignment vertical="center"/>
    </xf>
    <xf numFmtId="4" fontId="19" fillId="0" borderId="7" xfId="0" applyNumberFormat="1" applyFont="1" applyBorder="1" applyAlignment="1">
      <alignment vertical="center"/>
    </xf>
    <xf numFmtId="0" fontId="7" fillId="4" borderId="17" xfId="0" applyFont="1" applyFill="1" applyBorder="1" applyAlignment="1">
      <alignment vertical="center"/>
    </xf>
    <xf numFmtId="0" fontId="15" fillId="0" borderId="3" xfId="0" applyFont="1" applyBorder="1"/>
    <xf numFmtId="0" fontId="6" fillId="0" borderId="4" xfId="2" applyFont="1" applyBorder="1" applyAlignment="1">
      <alignment horizontal="center" vertical="center"/>
    </xf>
    <xf numFmtId="43" fontId="6" fillId="0" borderId="4" xfId="1" applyNumberFormat="1" applyFont="1" applyBorder="1" applyAlignment="1">
      <alignment horizontal="right" vertical="center"/>
    </xf>
    <xf numFmtId="43" fontId="6" fillId="3" borderId="4" xfId="1" applyNumberFormat="1" applyFont="1" applyFill="1" applyBorder="1" applyAlignment="1">
      <alignment vertical="center"/>
    </xf>
    <xf numFmtId="0" fontId="6" fillId="0" borderId="4" xfId="2" applyFont="1" applyBorder="1" applyAlignment="1">
      <alignment horizontal="left" vertical="center" indent="1"/>
    </xf>
    <xf numFmtId="43" fontId="6" fillId="2" borderId="4" xfId="1" applyNumberFormat="1" applyFont="1" applyFill="1" applyBorder="1" applyAlignment="1">
      <alignment horizontal="right" vertical="center"/>
    </xf>
    <xf numFmtId="0" fontId="6" fillId="0" borderId="5" xfId="0" applyFont="1" applyBorder="1" applyAlignment="1">
      <alignment horizontal="left" vertical="center" indent="1"/>
    </xf>
    <xf numFmtId="43" fontId="6" fillId="2" borderId="4" xfId="1" applyNumberFormat="1" applyFont="1" applyFill="1" applyBorder="1" applyAlignment="1">
      <alignment vertical="center"/>
    </xf>
    <xf numFmtId="43" fontId="6" fillId="0" borderId="4" xfId="1" applyNumberFormat="1" applyFont="1" applyBorder="1" applyAlignment="1">
      <alignment vertical="center"/>
    </xf>
    <xf numFmtId="43" fontId="6" fillId="0" borderId="8" xfId="1" applyNumberFormat="1" applyFont="1" applyBorder="1" applyAlignment="1">
      <alignment horizontal="right" vertical="center"/>
    </xf>
    <xf numFmtId="43" fontId="6" fillId="2" borderId="8" xfId="1" applyNumberFormat="1" applyFont="1" applyFill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43" fontId="6" fillId="0" borderId="4" xfId="2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3" fontId="6" fillId="0" borderId="4" xfId="0" applyNumberFormat="1" applyFont="1" applyBorder="1" applyAlignment="1">
      <alignment vertical="center"/>
    </xf>
    <xf numFmtId="43" fontId="6" fillId="2" borderId="4" xfId="3" applyNumberFormat="1" applyFont="1" applyFill="1" applyBorder="1" applyAlignment="1">
      <alignment horizontal="right" vertical="center"/>
    </xf>
    <xf numFmtId="0" fontId="6" fillId="0" borderId="42" xfId="0" applyFont="1" applyBorder="1" applyAlignment="1">
      <alignment horizontal="center" vertical="center"/>
    </xf>
    <xf numFmtId="0" fontId="6" fillId="3" borderId="4" xfId="1" applyNumberFormat="1" applyFont="1" applyFill="1" applyBorder="1" applyAlignment="1">
      <alignment horizontal="left" vertical="center" indent="1"/>
    </xf>
    <xf numFmtId="43" fontId="6" fillId="0" borderId="4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5" xfId="0" applyFont="1" applyFill="1" applyBorder="1" applyAlignment="1">
      <alignment vertical="center"/>
    </xf>
    <xf numFmtId="43" fontId="9" fillId="0" borderId="8" xfId="1" quotePrefix="1" applyNumberFormat="1" applyFont="1" applyBorder="1" applyAlignment="1">
      <alignment vertical="center"/>
    </xf>
    <xf numFmtId="43" fontId="9" fillId="0" borderId="8" xfId="1" applyNumberFormat="1" applyFont="1" applyBorder="1" applyAlignment="1">
      <alignment vertical="center"/>
    </xf>
    <xf numFmtId="43" fontId="6" fillId="0" borderId="8" xfId="1" applyNumberFormat="1" applyFont="1" applyBorder="1" applyAlignment="1">
      <alignment vertical="center"/>
    </xf>
    <xf numFmtId="0" fontId="6" fillId="0" borderId="0" xfId="0" applyFont="1" applyAlignment="1">
      <alignment horizontal="left" vertical="top" wrapText="1"/>
    </xf>
    <xf numFmtId="17" fontId="8" fillId="3" borderId="0" xfId="0" applyNumberFormat="1" applyFont="1" applyFill="1"/>
    <xf numFmtId="49" fontId="8" fillId="3" borderId="0" xfId="0" quotePrefix="1" applyNumberFormat="1" applyFont="1" applyFill="1" applyAlignment="1">
      <alignment horizontal="left" vertical="center"/>
    </xf>
    <xf numFmtId="49" fontId="8" fillId="3" borderId="0" xfId="0" applyNumberFormat="1" applyFont="1" applyFill="1" applyAlignment="1">
      <alignment horizontal="left"/>
    </xf>
    <xf numFmtId="43" fontId="20" fillId="3" borderId="4" xfId="1" applyNumberFormat="1" applyFont="1" applyFill="1" applyBorder="1" applyAlignment="1">
      <alignment vertical="center"/>
    </xf>
    <xf numFmtId="43" fontId="20" fillId="0" borderId="4" xfId="1" applyNumberFormat="1" applyFont="1" applyBorder="1" applyAlignment="1">
      <alignment vertical="center"/>
    </xf>
    <xf numFmtId="43" fontId="20" fillId="0" borderId="8" xfId="1" quotePrefix="1" applyNumberFormat="1" applyFont="1" applyBorder="1" applyAlignment="1">
      <alignment vertical="center"/>
    </xf>
    <xf numFmtId="43" fontId="6" fillId="0" borderId="7" xfId="1" applyNumberFormat="1" applyFont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4" fontId="8" fillId="3" borderId="36" xfId="0" applyNumberFormat="1" applyFont="1" applyFill="1" applyBorder="1"/>
    <xf numFmtId="0" fontId="7" fillId="3" borderId="5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15" fillId="3" borderId="0" xfId="0" applyFont="1" applyFill="1" applyAlignment="1">
      <alignment horizontal="left" indent="1"/>
    </xf>
    <xf numFmtId="17" fontId="8" fillId="3" borderId="0" xfId="0" quotePrefix="1" applyNumberFormat="1" applyFont="1" applyFill="1" applyAlignment="1">
      <alignment horizontal="left" vertical="center" indent="1"/>
    </xf>
    <xf numFmtId="0" fontId="8" fillId="3" borderId="5" xfId="0" applyFont="1" applyFill="1" applyBorder="1" applyAlignment="1">
      <alignment horizontal="left" vertical="center" indent="2"/>
    </xf>
    <xf numFmtId="0" fontId="8" fillId="0" borderId="0" xfId="0" applyFont="1" applyAlignment="1">
      <alignment horizontal="left" vertical="center" indent="1"/>
    </xf>
    <xf numFmtId="0" fontId="8" fillId="0" borderId="5" xfId="0" applyFont="1" applyBorder="1" applyAlignment="1">
      <alignment horizontal="left" indent="1"/>
    </xf>
    <xf numFmtId="0" fontId="8" fillId="0" borderId="33" xfId="0" applyFont="1" applyBorder="1" applyAlignment="1">
      <alignment horizontal="left" indent="1"/>
    </xf>
    <xf numFmtId="0" fontId="8" fillId="0" borderId="34" xfId="0" applyFont="1" applyBorder="1" applyAlignment="1">
      <alignment horizontal="left" indent="1"/>
    </xf>
    <xf numFmtId="0" fontId="8" fillId="0" borderId="20" xfId="0" applyFont="1" applyBorder="1" applyAlignment="1">
      <alignment horizontal="left" indent="1"/>
    </xf>
    <xf numFmtId="0" fontId="8" fillId="0" borderId="11" xfId="0" applyFont="1" applyBorder="1" applyAlignment="1">
      <alignment horizontal="left" indent="1"/>
    </xf>
    <xf numFmtId="0" fontId="8" fillId="0" borderId="0" xfId="0" applyFont="1" applyAlignment="1">
      <alignment horizontal="left" indent="1"/>
    </xf>
    <xf numFmtId="0" fontId="15" fillId="0" borderId="0" xfId="0" applyFont="1" applyAlignment="1">
      <alignment horizontal="left" indent="1"/>
    </xf>
    <xf numFmtId="0" fontId="8" fillId="3" borderId="0" xfId="0" applyFont="1" applyFill="1" applyAlignment="1">
      <alignment horizontal="left" vertical="center"/>
    </xf>
    <xf numFmtId="43" fontId="6" fillId="2" borderId="8" xfId="1" applyNumberFormat="1" applyFont="1" applyFill="1" applyBorder="1" applyAlignment="1">
      <alignment horizontal="right" vertical="center"/>
    </xf>
    <xf numFmtId="43" fontId="4" fillId="0" borderId="0" xfId="0" applyNumberFormat="1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164" fontId="9" fillId="0" borderId="0" xfId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4" fontId="6" fillId="0" borderId="0" xfId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0" fontId="7" fillId="0" borderId="33" xfId="0" applyFont="1" applyBorder="1" applyAlignment="1">
      <alignment horizontal="right" vertical="center"/>
    </xf>
    <xf numFmtId="0" fontId="7" fillId="0" borderId="34" xfId="0" applyFont="1" applyBorder="1" applyAlignment="1">
      <alignment horizontal="right" vertical="center"/>
    </xf>
    <xf numFmtId="0" fontId="17" fillId="4" borderId="9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4" borderId="16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</cellXfs>
  <cellStyles count="6">
    <cellStyle name="Comma 3" xfId="3" xr:uid="{00000000-0005-0000-0000-000001000000}"/>
    <cellStyle name="Normal 3" xfId="2" xr:uid="{00000000-0005-0000-0000-000003000000}"/>
    <cellStyle name="จุลภาค" xfId="1" builtinId="3"/>
    <cellStyle name="จุลภาค 2" xfId="5" xr:uid="{54338864-1B17-4AC5-8FA0-B474C3AEABFD}"/>
    <cellStyle name="ปกติ" xfId="0" builtinId="0"/>
    <cellStyle name="ปกติ 2" xfId="4" xr:uid="{1B9FC895-21A3-4A89-9748-9322CE4C9AC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D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0</xdr:rowOff>
    </xdr:from>
    <xdr:to>
      <xdr:col>5</xdr:col>
      <xdr:colOff>333375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AAA3D-F0D2-4860-8FB1-998FC7161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29275" y="0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0</xdr:row>
      <xdr:rowOff>0</xdr:rowOff>
    </xdr:from>
    <xdr:to>
      <xdr:col>5</xdr:col>
      <xdr:colOff>333375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860D5-BB4D-4FCC-8FC0-92FBB4B23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29275" y="0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0</xdr:row>
      <xdr:rowOff>0</xdr:rowOff>
    </xdr:from>
    <xdr:to>
      <xdr:col>5</xdr:col>
      <xdr:colOff>333375</xdr:colOff>
      <xdr:row>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96AF7F-041D-4F2B-9BCA-DC4D7F7F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29275" y="0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0</xdr:row>
      <xdr:rowOff>0</xdr:rowOff>
    </xdr:from>
    <xdr:to>
      <xdr:col>5</xdr:col>
      <xdr:colOff>333375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82AB03-FCBA-404F-9066-87FB6FD69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29275" y="0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0</xdr:row>
      <xdr:rowOff>0</xdr:rowOff>
    </xdr:from>
    <xdr:to>
      <xdr:col>5</xdr:col>
      <xdr:colOff>333375</xdr:colOff>
      <xdr:row>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54EF660A-A3C3-4D72-9F79-CB717DE46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29275" y="0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0</xdr:row>
      <xdr:rowOff>0</xdr:rowOff>
    </xdr:from>
    <xdr:to>
      <xdr:col>5</xdr:col>
      <xdr:colOff>333375</xdr:colOff>
      <xdr:row>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ED30BD48-BC54-44F3-A731-BAF8C38A8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29275" y="0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0</xdr:row>
      <xdr:rowOff>0</xdr:rowOff>
    </xdr:from>
    <xdr:to>
      <xdr:col>5</xdr:col>
      <xdr:colOff>333375</xdr:colOff>
      <xdr:row>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5401F5BE-2E36-488E-A612-9AD959345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29275" y="0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104775</xdr:colOff>
      <xdr:row>0</xdr:row>
      <xdr:rowOff>0</xdr:rowOff>
    </xdr:from>
    <xdr:to>
      <xdr:col>5</xdr:col>
      <xdr:colOff>333375</xdr:colOff>
      <xdr:row>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EFC7CF49-D3AD-4E3B-8183-8F9E3A508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29275" y="0"/>
          <a:ext cx="21431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4920344</xdr:colOff>
      <xdr:row>0</xdr:row>
      <xdr:rowOff>85165</xdr:rowOff>
    </xdr:from>
    <xdr:to>
      <xdr:col>5</xdr:col>
      <xdr:colOff>466998</xdr:colOff>
      <xdr:row>3</xdr:row>
      <xdr:rowOff>2241</xdr:rowOff>
    </xdr:to>
    <xdr:pic>
      <xdr:nvPicPr>
        <xdr:cNvPr id="10" name="Picture 31">
          <a:extLst>
            <a:ext uri="{FF2B5EF4-FFF2-40B4-BE49-F238E27FC236}">
              <a16:creationId xmlns:a16="http://schemas.microsoft.com/office/drawing/2014/main" id="{904C8E37-C90D-4F8C-A4EE-6E8F31A0B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4219" y="85165"/>
          <a:ext cx="2461804" cy="517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414622</xdr:colOff>
      <xdr:row>35</xdr:row>
      <xdr:rowOff>279489</xdr:rowOff>
    </xdr:from>
    <xdr:to>
      <xdr:col>8</xdr:col>
      <xdr:colOff>1069927</xdr:colOff>
      <xdr:row>39</xdr:row>
      <xdr:rowOff>268060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6BD2F4A-F268-4B53-A7E4-4A6E102358EC}"/>
            </a:ext>
          </a:extLst>
        </xdr:cNvPr>
        <xdr:cNvSpPr txBox="1"/>
      </xdr:nvSpPr>
      <xdr:spPr>
        <a:xfrm>
          <a:off x="970882" y="8404861"/>
          <a:ext cx="11186145" cy="1143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</a:t>
          </a:r>
          <a:r>
            <a:rPr lang="th-TH" sz="14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ลงนาม      		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	        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ลงนาม   </a:t>
          </a:r>
          <a:r>
            <a:rPr lang="en-US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</a:t>
          </a:r>
          <a:r>
            <a:rPr lang="en-US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			ลงนาม   </a:t>
          </a:r>
          <a:r>
            <a:rPr lang="en-US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</a:t>
          </a:r>
        </a:p>
        <a:p>
          <a:endParaRPr lang="th-TH" sz="300" b="0" i="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</a:t>
          </a:r>
        </a:p>
        <a:p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    นายณภพ  ศุภางค์		              </a:t>
          </a:r>
          <a:r>
            <a:rPr lang="en-US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</a:t>
          </a:r>
          <a:r>
            <a:rPr lang="en-US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   </a:t>
          </a:r>
          <a:r>
            <a:rPr lang="th-TH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</a:t>
          </a:r>
          <a:r>
            <a:rPr lang="en-US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</a:t>
          </a:r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นายเอกวิชัย</a:t>
          </a:r>
          <a:r>
            <a:rPr lang="th-TH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แสงพูนสุข</a:t>
          </a:r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	</a:t>
          </a:r>
          <a:r>
            <a:rPr lang="th-TH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</a:t>
          </a:r>
          <a:r>
            <a:rPr lang="en-US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         </a:t>
          </a:r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นางสาวสิปโปทัย  วรรณประไพ</a:t>
          </a:r>
          <a:endParaRPr lang="th-TH" sz="1400" b="1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400" b="1">
              <a:latin typeface="TH Sarabun New" panose="020B0500040200020003" pitchFamily="34" charset="-34"/>
              <a:cs typeface="TH Sarabun New" panose="020B0500040200020003" pitchFamily="34" charset="-34"/>
            </a:rPr>
            <a:t>                   ประธานกรรมการฯ 		</a:t>
          </a:r>
          <a:r>
            <a:rPr lang="th-TH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       </a:t>
          </a:r>
          <a:r>
            <a:rPr lang="en-US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	          </a:t>
          </a:r>
          <a:r>
            <a:rPr lang="th-TH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</a:t>
          </a:r>
          <a:r>
            <a:rPr lang="en-US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   </a:t>
          </a:r>
          <a:r>
            <a:rPr lang="th-TH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กรรมการฯ			</a:t>
          </a:r>
          <a:r>
            <a:rPr lang="en-US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                 กรรมการฯ</a:t>
          </a:r>
          <a:endParaRPr lang="en-US" sz="14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310180</xdr:colOff>
      <xdr:row>0</xdr:row>
      <xdr:rowOff>26895</xdr:rowOff>
    </xdr:from>
    <xdr:to>
      <xdr:col>11</xdr:col>
      <xdr:colOff>582706</xdr:colOff>
      <xdr:row>2</xdr:row>
      <xdr:rowOff>35232</xdr:rowOff>
    </xdr:to>
    <xdr:pic>
      <xdr:nvPicPr>
        <xdr:cNvPr id="2" name="Picture 31">
          <a:extLst>
            <a:ext uri="{FF2B5EF4-FFF2-40B4-BE49-F238E27FC236}">
              <a16:creationId xmlns:a16="http://schemas.microsoft.com/office/drawing/2014/main" id="{2A956928-E7EB-4AC6-BC32-20904B2F7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234480" y="26895"/>
          <a:ext cx="2949051" cy="50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0</xdr:colOff>
      <xdr:row>26</xdr:row>
      <xdr:rowOff>231913</xdr:rowOff>
    </xdr:from>
    <xdr:to>
      <xdr:col>14</xdr:col>
      <xdr:colOff>799409</xdr:colOff>
      <xdr:row>32</xdr:row>
      <xdr:rowOff>70258</xdr:rowOff>
    </xdr:to>
    <xdr:sp macro="" textlink="">
      <xdr:nvSpPr>
        <xdr:cNvPr id="5" name="TextBox 3">
          <a:extLst>
            <a:ext uri="{FF2B5EF4-FFF2-40B4-BE49-F238E27FC236}">
              <a16:creationId xmlns:a16="http://schemas.microsoft.com/office/drawing/2014/main" id="{828301CD-6D26-4AAF-B99C-418494C31F22}"/>
            </a:ext>
          </a:extLst>
        </xdr:cNvPr>
        <xdr:cNvSpPr txBox="1"/>
      </xdr:nvSpPr>
      <xdr:spPr>
        <a:xfrm>
          <a:off x="0" y="6915978"/>
          <a:ext cx="9570692" cy="12215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</a:t>
          </a:r>
          <a:r>
            <a:rPr lang="th-TH" sz="14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ลงนาม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			    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ลงนาม</a:t>
          </a:r>
          <a:r>
            <a:rPr lang="en-US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			    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ลงนาม   </a:t>
          </a:r>
          <a:r>
            <a:rPr lang="en-US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</a:t>
          </a:r>
        </a:p>
        <a:p>
          <a:endParaRPr lang="th-TH" sz="300" b="0" i="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</a:t>
          </a:r>
        </a:p>
        <a:p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นายณภพ  ศุภางค์		              </a:t>
          </a:r>
          <a:r>
            <a:rPr lang="en-US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</a:t>
          </a:r>
          <a:r>
            <a:rPr lang="en-US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</a:t>
          </a:r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นายเอกวิชัย  แสงพูนสุข		</a:t>
          </a:r>
          <a:r>
            <a:rPr lang="th-TH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</a:t>
          </a:r>
          <a:r>
            <a:rPr lang="en-US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        </a:t>
          </a:r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นางสาวสิปโปทัย  วรรณประไพ</a:t>
          </a:r>
          <a:endParaRPr lang="th-TH" sz="1400" b="1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400" b="1">
              <a:latin typeface="TH Sarabun New" panose="020B0500040200020003" pitchFamily="34" charset="-34"/>
              <a:cs typeface="TH Sarabun New" panose="020B0500040200020003" pitchFamily="34" charset="-34"/>
            </a:rPr>
            <a:t>             ประธานกรรมการฯ 		</a:t>
          </a:r>
          <a:r>
            <a:rPr lang="th-TH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       </a:t>
          </a:r>
          <a:r>
            <a:rPr lang="en-US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	          </a:t>
          </a:r>
          <a:r>
            <a:rPr lang="th-TH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</a:t>
          </a:r>
          <a:r>
            <a:rPr lang="en-US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กรรมการฯ			</a:t>
          </a:r>
          <a:r>
            <a:rPr lang="en-US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กรรมการฯ</a:t>
          </a:r>
          <a:endParaRPr lang="en-US" sz="14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303009</xdr:colOff>
      <xdr:row>0</xdr:row>
      <xdr:rowOff>34755</xdr:rowOff>
    </xdr:from>
    <xdr:to>
      <xdr:col>9</xdr:col>
      <xdr:colOff>1343363</xdr:colOff>
      <xdr:row>2</xdr:row>
      <xdr:rowOff>42375</xdr:rowOff>
    </xdr:to>
    <xdr:pic>
      <xdr:nvPicPr>
        <xdr:cNvPr id="2" name="Picture 31">
          <a:extLst>
            <a:ext uri="{FF2B5EF4-FFF2-40B4-BE49-F238E27FC236}">
              <a16:creationId xmlns:a16="http://schemas.microsoft.com/office/drawing/2014/main" id="{5AF0D37D-A8DD-4EC0-87D7-6A9F9B21B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9159" y="34755"/>
          <a:ext cx="2583404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0</xdr:col>
      <xdr:colOff>299357</xdr:colOff>
      <xdr:row>21</xdr:row>
      <xdr:rowOff>244928</xdr:rowOff>
    </xdr:from>
    <xdr:to>
      <xdr:col>13</xdr:col>
      <xdr:colOff>494728</xdr:colOff>
      <xdr:row>25</xdr:row>
      <xdr:rowOff>296255</xdr:rowOff>
    </xdr:to>
    <xdr:sp macro="" textlink="">
      <xdr:nvSpPr>
        <xdr:cNvPr id="5" name="TextBox 3">
          <a:extLst>
            <a:ext uri="{FF2B5EF4-FFF2-40B4-BE49-F238E27FC236}">
              <a16:creationId xmlns:a16="http://schemas.microsoft.com/office/drawing/2014/main" id="{9C0CDB85-7471-45AB-A193-63E2724FECA6}"/>
            </a:ext>
          </a:extLst>
        </xdr:cNvPr>
        <xdr:cNvSpPr txBox="1"/>
      </xdr:nvSpPr>
      <xdr:spPr>
        <a:xfrm>
          <a:off x="299357" y="5197928"/>
          <a:ext cx="9570692" cy="12215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i="0" u="none" strike="noStrike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</a:t>
          </a:r>
          <a:r>
            <a:rPr lang="th-TH" sz="14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ลงนาม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			    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ลงนาม</a:t>
          </a:r>
          <a:r>
            <a:rPr lang="en-US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			    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ลงนาม   </a:t>
          </a:r>
          <a:r>
            <a:rPr lang="en-US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</a:t>
          </a:r>
          <a:r>
            <a:rPr lang="th-TH" sz="1400" b="0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</a:t>
          </a:r>
        </a:p>
        <a:p>
          <a:endParaRPr lang="th-TH" sz="300" b="0" i="0">
            <a:solidFill>
              <a:schemeClr val="dk1"/>
            </a:solidFill>
            <a:effectLst/>
            <a:latin typeface="TH Sarabun New" panose="020B0500040200020003" pitchFamily="34" charset="-34"/>
            <a:ea typeface="+mn-ea"/>
            <a:cs typeface="TH Sarabun New" panose="020B0500040200020003" pitchFamily="34" charset="-34"/>
          </a:endParaRPr>
        </a:p>
        <a:p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</a:t>
          </a:r>
        </a:p>
        <a:p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นายณภพ  ศุภางค์		              </a:t>
          </a:r>
          <a:r>
            <a:rPr lang="en-US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	</a:t>
          </a:r>
          <a:r>
            <a:rPr lang="en-US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</a:t>
          </a:r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นายเอกวิชัย  แสงพูนสุข		</a:t>
          </a:r>
          <a:r>
            <a:rPr lang="th-TH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</a:t>
          </a:r>
          <a:r>
            <a:rPr lang="en-US" sz="1400" b="1" i="0" baseline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        </a:t>
          </a:r>
          <a:r>
            <a:rPr lang="th-TH" sz="1400" b="1" i="0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นางสาวสิปโปทัย  วรรณประไพ</a:t>
          </a:r>
          <a:endParaRPr lang="th-TH" sz="1400" b="1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400" b="1">
              <a:latin typeface="TH Sarabun New" panose="020B0500040200020003" pitchFamily="34" charset="-34"/>
              <a:cs typeface="TH Sarabun New" panose="020B0500040200020003" pitchFamily="34" charset="-34"/>
            </a:rPr>
            <a:t>             ประธานกรรมการฯ 		</a:t>
          </a:r>
          <a:r>
            <a:rPr lang="th-TH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       </a:t>
          </a:r>
          <a:r>
            <a:rPr lang="en-US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	          </a:t>
          </a:r>
          <a:r>
            <a:rPr lang="th-TH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</a:t>
          </a:r>
          <a:r>
            <a:rPr lang="en-US" sz="14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     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กรรมการฯ			</a:t>
          </a:r>
          <a:r>
            <a:rPr lang="en-US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    </a:t>
          </a:r>
          <a:r>
            <a:rPr lang="th-TH" sz="1400" b="1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           กรรมการฯ</a:t>
          </a:r>
          <a:endParaRPr lang="en-US" sz="14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14" zoomScaleSheetLayoutView="6" workbookViewId="0"/>
  </sheetViews>
  <sheetFormatPr defaultRowHeight="21" x14ac:dyDescent="0.4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showGridLines="0" showRowColHeaders="0" showZeros="0" showOutlineSymbols="0" topLeftCell="B5378" zoomScaleNormal="14" zoomScaleSheetLayoutView="6" workbookViewId="0"/>
  </sheetViews>
  <sheetFormatPr defaultRowHeight="21" x14ac:dyDescent="0.4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9D6A-FEC6-47EE-93A4-10BD304EC445}">
  <sheetPr>
    <tabColor rgb="FFFFFF00"/>
    <pageSetUpPr fitToPage="1"/>
  </sheetPr>
  <dimension ref="A1:IT123"/>
  <sheetViews>
    <sheetView showGridLines="0" tabSelected="1" topLeftCell="A5" zoomScaleNormal="100" zoomScaleSheetLayoutView="100" workbookViewId="0">
      <selection activeCell="E18" sqref="E18"/>
    </sheetView>
  </sheetViews>
  <sheetFormatPr defaultColWidth="9.33203125" defaultRowHeight="23.1" customHeight="1" x14ac:dyDescent="0.5"/>
  <cols>
    <col min="1" max="1" width="9.1640625" style="68" customWidth="1"/>
    <col min="2" max="2" width="87.5" style="2" customWidth="1"/>
    <col min="3" max="3" width="12.83203125" style="2" customWidth="1"/>
    <col min="4" max="4" width="6.83203125" style="2" customWidth="1"/>
    <col min="5" max="5" width="13.83203125" style="2" customWidth="1"/>
    <col min="6" max="6" width="18.83203125" style="2" customWidth="1"/>
    <col min="7" max="7" width="13.83203125" style="2" customWidth="1"/>
    <col min="8" max="9" width="18.83203125" style="2" customWidth="1"/>
    <col min="10" max="10" width="21.6640625" style="2" bestFit="1" customWidth="1"/>
    <col min="11" max="11" width="13" style="2" customWidth="1"/>
    <col min="12" max="12" width="15" style="2" customWidth="1"/>
    <col min="13" max="13" width="11.1640625" style="2" bestFit="1" customWidth="1"/>
    <col min="14" max="16384" width="9.33203125" style="2"/>
  </cols>
  <sheetData>
    <row r="1" spans="1:254" ht="15.95" customHeight="1" x14ac:dyDescent="0.5">
      <c r="A1" s="1"/>
    </row>
    <row r="2" spans="1:254" ht="15.95" customHeight="1" x14ac:dyDescent="0.5">
      <c r="A2" s="1"/>
    </row>
    <row r="3" spans="1:254" ht="15.95" customHeight="1" x14ac:dyDescent="0.5">
      <c r="A3" s="2"/>
      <c r="E3" s="3"/>
      <c r="H3" s="4"/>
      <c r="I3" s="5"/>
      <c r="J3" s="9" t="s">
        <v>0</v>
      </c>
    </row>
    <row r="4" spans="1:254" ht="18" customHeight="1" x14ac:dyDescent="0.5">
      <c r="A4" s="7" t="s">
        <v>1</v>
      </c>
      <c r="B4" s="8"/>
      <c r="E4" s="3"/>
      <c r="H4" s="4"/>
      <c r="I4" s="4"/>
      <c r="J4" s="9" t="s">
        <v>82</v>
      </c>
    </row>
    <row r="5" spans="1:254" ht="18" customHeight="1" x14ac:dyDescent="0.5">
      <c r="A5" s="7" t="s">
        <v>74</v>
      </c>
      <c r="B5" s="8"/>
      <c r="E5" s="3"/>
      <c r="H5" s="4"/>
      <c r="I5" s="4"/>
      <c r="J5" s="9"/>
    </row>
    <row r="6" spans="1:254" ht="18" customHeight="1" x14ac:dyDescent="0.5">
      <c r="A6" s="7" t="s">
        <v>2</v>
      </c>
      <c r="B6" s="10"/>
      <c r="C6" s="11" t="s">
        <v>64</v>
      </c>
      <c r="D6" s="12" t="s">
        <v>84</v>
      </c>
      <c r="E6" s="3"/>
      <c r="J6" s="13"/>
    </row>
    <row r="7" spans="1:254" ht="18.75" customHeight="1" x14ac:dyDescent="0.5">
      <c r="A7" s="14" t="s">
        <v>3</v>
      </c>
      <c r="B7" s="191" t="s">
        <v>86</v>
      </c>
      <c r="C7" s="14" t="s">
        <v>4</v>
      </c>
      <c r="D7" s="17" t="s">
        <v>85</v>
      </c>
      <c r="E7" s="16"/>
      <c r="F7" s="17"/>
      <c r="G7" s="17"/>
      <c r="H7" s="17"/>
      <c r="I7" s="17"/>
      <c r="J7" s="18" t="s">
        <v>5</v>
      </c>
    </row>
    <row r="8" spans="1:254" ht="18.75" customHeight="1" x14ac:dyDescent="0.5">
      <c r="A8" s="14"/>
      <c r="B8" s="15"/>
      <c r="C8" s="14"/>
      <c r="D8" s="12"/>
      <c r="E8" s="16"/>
      <c r="F8" s="17"/>
      <c r="G8" s="17"/>
      <c r="H8" s="17"/>
      <c r="I8" s="17"/>
      <c r="J8" s="18"/>
    </row>
    <row r="9" spans="1:254" ht="18" customHeight="1" x14ac:dyDescent="0.5">
      <c r="A9" s="226" t="s">
        <v>6</v>
      </c>
      <c r="B9" s="221" t="s">
        <v>7</v>
      </c>
      <c r="C9" s="227" t="s">
        <v>8</v>
      </c>
      <c r="D9" s="221" t="s">
        <v>9</v>
      </c>
      <c r="E9" s="229" t="s">
        <v>65</v>
      </c>
      <c r="F9" s="230"/>
      <c r="G9" s="229" t="s">
        <v>66</v>
      </c>
      <c r="H9" s="230"/>
      <c r="I9" s="19" t="s">
        <v>10</v>
      </c>
      <c r="J9" s="221" t="s">
        <v>11</v>
      </c>
    </row>
    <row r="10" spans="1:254" ht="18" customHeight="1" x14ac:dyDescent="0.5">
      <c r="A10" s="222"/>
      <c r="B10" s="222"/>
      <c r="C10" s="228"/>
      <c r="D10" s="222"/>
      <c r="E10" s="20" t="s">
        <v>12</v>
      </c>
      <c r="F10" s="20" t="s">
        <v>13</v>
      </c>
      <c r="G10" s="20" t="s">
        <v>12</v>
      </c>
      <c r="H10" s="20" t="s">
        <v>13</v>
      </c>
      <c r="I10" s="21" t="s">
        <v>14</v>
      </c>
      <c r="J10" s="222"/>
    </row>
    <row r="11" spans="1:254" s="24" customFormat="1" ht="18.75" customHeight="1" x14ac:dyDescent="0.45">
      <c r="A11" s="168">
        <v>1</v>
      </c>
      <c r="B11" s="28" t="s">
        <v>75</v>
      </c>
      <c r="C11" s="169"/>
      <c r="D11" s="131" t="s">
        <v>15</v>
      </c>
      <c r="E11" s="170">
        <v>316</v>
      </c>
      <c r="F11" s="188">
        <f>C11*E11</f>
        <v>0</v>
      </c>
      <c r="G11" s="170">
        <v>199</v>
      </c>
      <c r="H11" s="189">
        <f>C11*G11</f>
        <v>0</v>
      </c>
      <c r="I11" s="190">
        <f>F11+H11</f>
        <v>0</v>
      </c>
      <c r="J11" s="22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</row>
    <row r="12" spans="1:254" s="24" customFormat="1" ht="18.75" customHeight="1" x14ac:dyDescent="0.45">
      <c r="A12" s="168">
        <v>2</v>
      </c>
      <c r="B12" s="171" t="s">
        <v>70</v>
      </c>
      <c r="C12" s="172"/>
      <c r="D12" s="168" t="s">
        <v>15</v>
      </c>
      <c r="E12" s="170">
        <v>395</v>
      </c>
      <c r="F12" s="188">
        <f t="shared" ref="F12:F31" si="0">C12*E12</f>
        <v>0</v>
      </c>
      <c r="G12" s="170">
        <v>212</v>
      </c>
      <c r="H12" s="189">
        <f t="shared" ref="H12:H29" si="1">C12*G12</f>
        <v>0</v>
      </c>
      <c r="I12" s="190">
        <f t="shared" ref="I12:I29" si="2">F12+H12</f>
        <v>0</v>
      </c>
      <c r="J12" s="25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</row>
    <row r="13" spans="1:254" s="24" customFormat="1" ht="18.75" customHeight="1" x14ac:dyDescent="0.45">
      <c r="A13" s="168">
        <v>3</v>
      </c>
      <c r="B13" s="171" t="s">
        <v>87</v>
      </c>
      <c r="C13" s="172"/>
      <c r="D13" s="168" t="s">
        <v>15</v>
      </c>
      <c r="E13" s="170">
        <v>519</v>
      </c>
      <c r="F13" s="188">
        <f t="shared" ref="F13" si="3">C13*E13</f>
        <v>0</v>
      </c>
      <c r="G13" s="170">
        <v>256</v>
      </c>
      <c r="H13" s="189">
        <f t="shared" ref="H13" si="4">C13*G13</f>
        <v>0</v>
      </c>
      <c r="I13" s="190">
        <f t="shared" ref="I13" si="5">F13+H13</f>
        <v>0</v>
      </c>
      <c r="J13" s="25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</row>
    <row r="14" spans="1:254" s="24" customFormat="1" ht="18.75" customHeight="1" x14ac:dyDescent="0.45">
      <c r="A14" s="168">
        <v>4</v>
      </c>
      <c r="B14" s="171" t="s">
        <v>71</v>
      </c>
      <c r="C14" s="172"/>
      <c r="D14" s="168" t="s">
        <v>15</v>
      </c>
      <c r="E14" s="170">
        <v>519</v>
      </c>
      <c r="F14" s="188">
        <f t="shared" si="0"/>
        <v>0</v>
      </c>
      <c r="G14" s="170">
        <v>256</v>
      </c>
      <c r="H14" s="189">
        <f t="shared" si="1"/>
        <v>0</v>
      </c>
      <c r="I14" s="190">
        <f t="shared" si="2"/>
        <v>0</v>
      </c>
      <c r="J14" s="25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s="24" customFormat="1" ht="18.75" customHeight="1" x14ac:dyDescent="0.45">
      <c r="A15" s="168">
        <v>5</v>
      </c>
      <c r="B15" s="171" t="s">
        <v>96</v>
      </c>
      <c r="C15" s="172"/>
      <c r="D15" s="168" t="s">
        <v>15</v>
      </c>
      <c r="E15" s="170">
        <v>2426</v>
      </c>
      <c r="F15" s="188">
        <f t="shared" si="0"/>
        <v>0</v>
      </c>
      <c r="G15" s="170">
        <v>588</v>
      </c>
      <c r="H15" s="189">
        <f t="shared" si="1"/>
        <v>0</v>
      </c>
      <c r="I15" s="190">
        <f t="shared" si="2"/>
        <v>0</v>
      </c>
      <c r="J15" s="25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s="24" customFormat="1" ht="18.75" customHeight="1" x14ac:dyDescent="0.45">
      <c r="A16" s="168">
        <v>6</v>
      </c>
      <c r="B16" s="171" t="s">
        <v>69</v>
      </c>
      <c r="C16" s="172"/>
      <c r="D16" s="168" t="s">
        <v>15</v>
      </c>
      <c r="E16" s="170">
        <v>2596</v>
      </c>
      <c r="F16" s="188">
        <f t="shared" si="0"/>
        <v>0</v>
      </c>
      <c r="G16" s="170">
        <v>630</v>
      </c>
      <c r="H16" s="189">
        <f t="shared" si="1"/>
        <v>0</v>
      </c>
      <c r="I16" s="190">
        <f t="shared" si="2"/>
        <v>0</v>
      </c>
      <c r="J16" s="25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s="24" customFormat="1" ht="18.75" customHeight="1" x14ac:dyDescent="0.45">
      <c r="A17" s="168">
        <v>7</v>
      </c>
      <c r="B17" s="173" t="s">
        <v>88</v>
      </c>
      <c r="C17" s="219"/>
      <c r="D17" s="168" t="s">
        <v>18</v>
      </c>
      <c r="E17" s="170">
        <v>15527</v>
      </c>
      <c r="F17" s="188">
        <f t="shared" si="0"/>
        <v>0</v>
      </c>
      <c r="G17" s="175">
        <v>4494</v>
      </c>
      <c r="H17" s="189">
        <f t="shared" ref="H17" si="6">C17*G17</f>
        <v>0</v>
      </c>
      <c r="I17" s="190">
        <f t="shared" ref="I17" si="7">F17+H17</f>
        <v>0</v>
      </c>
      <c r="J17" s="25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s="24" customFormat="1" ht="18.75" customHeight="1" x14ac:dyDescent="0.45">
      <c r="A18" s="168">
        <v>8</v>
      </c>
      <c r="B18" s="173" t="s">
        <v>89</v>
      </c>
      <c r="C18" s="176"/>
      <c r="D18" s="168" t="s">
        <v>18</v>
      </c>
      <c r="E18" s="170">
        <v>24583</v>
      </c>
      <c r="F18" s="188">
        <f t="shared" si="0"/>
        <v>0</v>
      </c>
      <c r="G18" s="170">
        <v>4978</v>
      </c>
      <c r="H18" s="189">
        <f t="shared" si="1"/>
        <v>0</v>
      </c>
      <c r="I18" s="190">
        <f t="shared" si="2"/>
        <v>0</v>
      </c>
      <c r="J18" s="26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s="24" customFormat="1" ht="18.75" customHeight="1" x14ac:dyDescent="0.45">
      <c r="A19" s="168">
        <v>9</v>
      </c>
      <c r="B19" s="173" t="s">
        <v>68</v>
      </c>
      <c r="C19" s="177"/>
      <c r="D19" s="178" t="s">
        <v>17</v>
      </c>
      <c r="E19" s="170">
        <v>2755</v>
      </c>
      <c r="F19" s="188">
        <f t="shared" si="0"/>
        <v>0</v>
      </c>
      <c r="G19" s="170">
        <v>851</v>
      </c>
      <c r="H19" s="189">
        <f t="shared" si="1"/>
        <v>0</v>
      </c>
      <c r="I19" s="190">
        <f t="shared" si="2"/>
        <v>0</v>
      </c>
      <c r="J19" s="26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s="24" customFormat="1" ht="18.75" customHeight="1" x14ac:dyDescent="0.45">
      <c r="A20" s="168">
        <v>10</v>
      </c>
      <c r="B20" s="173" t="s">
        <v>90</v>
      </c>
      <c r="C20" s="177"/>
      <c r="D20" s="178" t="s">
        <v>16</v>
      </c>
      <c r="E20" s="170">
        <v>6735</v>
      </c>
      <c r="F20" s="188">
        <f t="shared" si="0"/>
        <v>0</v>
      </c>
      <c r="G20" s="170">
        <v>1299</v>
      </c>
      <c r="H20" s="189">
        <f t="shared" ref="H20" si="8">C20*G20</f>
        <v>0</v>
      </c>
      <c r="I20" s="190">
        <f t="shared" ref="I20" si="9">F20+H20</f>
        <v>0</v>
      </c>
      <c r="J20" s="26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s="24" customFormat="1" ht="18.75" customHeight="1" x14ac:dyDescent="0.45">
      <c r="A21" s="168">
        <v>11</v>
      </c>
      <c r="B21" s="171" t="s">
        <v>76</v>
      </c>
      <c r="C21" s="174"/>
      <c r="D21" s="179" t="s">
        <v>17</v>
      </c>
      <c r="E21" s="170">
        <v>3832</v>
      </c>
      <c r="F21" s="188">
        <f t="shared" si="0"/>
        <v>0</v>
      </c>
      <c r="G21" s="170">
        <v>906</v>
      </c>
      <c r="H21" s="189">
        <f t="shared" si="1"/>
        <v>0</v>
      </c>
      <c r="I21" s="190">
        <f t="shared" si="2"/>
        <v>0</v>
      </c>
      <c r="J21" s="25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</row>
    <row r="22" spans="1:254" s="24" customFormat="1" ht="18.75" customHeight="1" x14ac:dyDescent="0.45">
      <c r="A22" s="168">
        <v>12</v>
      </c>
      <c r="B22" s="171" t="s">
        <v>91</v>
      </c>
      <c r="C22" s="174"/>
      <c r="D22" s="179" t="s">
        <v>92</v>
      </c>
      <c r="E22" s="170">
        <v>661</v>
      </c>
      <c r="F22" s="188">
        <f t="shared" si="0"/>
        <v>0</v>
      </c>
      <c r="G22" s="170">
        <v>80</v>
      </c>
      <c r="H22" s="189">
        <f t="shared" si="1"/>
        <v>0</v>
      </c>
      <c r="I22" s="190">
        <f t="shared" si="2"/>
        <v>0</v>
      </c>
      <c r="J22" s="25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</row>
    <row r="23" spans="1:254" s="24" customFormat="1" ht="18.75" customHeight="1" x14ac:dyDescent="0.45">
      <c r="A23" s="168">
        <v>13</v>
      </c>
      <c r="B23" s="171" t="s">
        <v>93</v>
      </c>
      <c r="C23" s="174"/>
      <c r="D23" s="179" t="s">
        <v>16</v>
      </c>
      <c r="E23" s="170">
        <v>0</v>
      </c>
      <c r="F23" s="188">
        <f t="shared" si="0"/>
        <v>0</v>
      </c>
      <c r="G23" s="170">
        <v>3068</v>
      </c>
      <c r="H23" s="189">
        <f t="shared" ref="H23" si="10">C23*G23</f>
        <v>0</v>
      </c>
      <c r="I23" s="190">
        <f t="shared" ref="I23" si="11">F23+H23</f>
        <v>0</v>
      </c>
      <c r="J23" s="25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</row>
    <row r="24" spans="1:254" s="24" customFormat="1" ht="18.75" customHeight="1" x14ac:dyDescent="0.45">
      <c r="A24" s="168">
        <v>14</v>
      </c>
      <c r="B24" s="171" t="s">
        <v>95</v>
      </c>
      <c r="C24" s="174"/>
      <c r="D24" s="168" t="s">
        <v>62</v>
      </c>
      <c r="E24" s="170">
        <v>161</v>
      </c>
      <c r="F24" s="188">
        <f t="shared" si="0"/>
        <v>0</v>
      </c>
      <c r="G24" s="175">
        <v>43</v>
      </c>
      <c r="H24" s="189">
        <f t="shared" si="1"/>
        <v>0</v>
      </c>
      <c r="I24" s="190">
        <f t="shared" si="2"/>
        <v>0</v>
      </c>
      <c r="J24" s="2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s="24" customFormat="1" ht="18.75" customHeight="1" x14ac:dyDescent="0.45">
      <c r="A25" s="168">
        <v>15</v>
      </c>
      <c r="B25" s="28" t="s">
        <v>61</v>
      </c>
      <c r="C25" s="174"/>
      <c r="D25" s="168" t="s">
        <v>15</v>
      </c>
      <c r="E25" s="170">
        <v>251</v>
      </c>
      <c r="F25" s="188">
        <f t="shared" si="0"/>
        <v>0</v>
      </c>
      <c r="G25" s="170">
        <v>65</v>
      </c>
      <c r="H25" s="189">
        <f t="shared" si="1"/>
        <v>0</v>
      </c>
      <c r="I25" s="190">
        <f t="shared" si="2"/>
        <v>0</v>
      </c>
      <c r="J25" s="25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s="24" customFormat="1" ht="18.75" customHeight="1" x14ac:dyDescent="0.45">
      <c r="A26" s="168">
        <v>16</v>
      </c>
      <c r="B26" s="180" t="s">
        <v>94</v>
      </c>
      <c r="C26" s="181"/>
      <c r="D26" s="168" t="s">
        <v>62</v>
      </c>
      <c r="E26" s="170">
        <v>929</v>
      </c>
      <c r="F26" s="188">
        <f t="shared" si="0"/>
        <v>0</v>
      </c>
      <c r="G26" s="170">
        <v>243</v>
      </c>
      <c r="H26" s="189">
        <f t="shared" si="1"/>
        <v>0</v>
      </c>
      <c r="I26" s="190">
        <f t="shared" si="2"/>
        <v>0</v>
      </c>
      <c r="J26" s="25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s="24" customFormat="1" ht="18.75" customHeight="1" x14ac:dyDescent="0.45">
      <c r="A27" s="168">
        <v>17</v>
      </c>
      <c r="B27" s="28" t="s">
        <v>67</v>
      </c>
      <c r="C27" s="182"/>
      <c r="D27" s="183" t="s">
        <v>62</v>
      </c>
      <c r="E27" s="170">
        <v>0</v>
      </c>
      <c r="F27" s="188">
        <f t="shared" si="0"/>
        <v>0</v>
      </c>
      <c r="G27" s="170">
        <v>306</v>
      </c>
      <c r="H27" s="189">
        <f t="shared" si="1"/>
        <v>0</v>
      </c>
      <c r="I27" s="190">
        <f t="shared" si="2"/>
        <v>0</v>
      </c>
      <c r="J27" s="25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s="24" customFormat="1" ht="18.75" customHeight="1" x14ac:dyDescent="0.45">
      <c r="A28" s="168">
        <v>18</v>
      </c>
      <c r="B28" s="28" t="s">
        <v>19</v>
      </c>
      <c r="C28" s="182"/>
      <c r="D28" s="168" t="s">
        <v>62</v>
      </c>
      <c r="E28" s="170">
        <v>316</v>
      </c>
      <c r="F28" s="188">
        <f t="shared" si="0"/>
        <v>0</v>
      </c>
      <c r="G28" s="170">
        <v>58</v>
      </c>
      <c r="H28" s="189">
        <f t="shared" si="1"/>
        <v>0</v>
      </c>
      <c r="I28" s="190">
        <f t="shared" si="2"/>
        <v>0</v>
      </c>
      <c r="J28" s="26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s="24" customFormat="1" ht="18.75" customHeight="1" x14ac:dyDescent="0.45">
      <c r="A29" s="168">
        <v>19</v>
      </c>
      <c r="B29" s="184" t="s">
        <v>63</v>
      </c>
      <c r="C29" s="185"/>
      <c r="D29" s="27" t="s">
        <v>62</v>
      </c>
      <c r="E29" s="170">
        <v>0</v>
      </c>
      <c r="F29" s="188">
        <f t="shared" si="0"/>
        <v>0</v>
      </c>
      <c r="G29" s="170">
        <v>267</v>
      </c>
      <c r="H29" s="198">
        <f t="shared" si="1"/>
        <v>0</v>
      </c>
      <c r="I29" s="198">
        <f t="shared" si="2"/>
        <v>0</v>
      </c>
      <c r="J29" s="25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s="24" customFormat="1" ht="18.75" customHeight="1" x14ac:dyDescent="0.45">
      <c r="A30" s="168"/>
      <c r="B30" s="184"/>
      <c r="C30" s="185"/>
      <c r="D30" s="27"/>
      <c r="E30" s="170"/>
      <c r="F30" s="188"/>
      <c r="G30" s="170"/>
      <c r="H30" s="198"/>
      <c r="I30" s="198"/>
      <c r="J30" s="25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s="24" customFormat="1" ht="18.75" customHeight="1" x14ac:dyDescent="0.45">
      <c r="A31" s="27"/>
      <c r="B31" s="28"/>
      <c r="C31" s="185"/>
      <c r="D31" s="27"/>
      <c r="E31" s="195">
        <v>0</v>
      </c>
      <c r="F31" s="197">
        <f t="shared" si="0"/>
        <v>0</v>
      </c>
      <c r="G31" s="196">
        <v>0</v>
      </c>
      <c r="H31" s="198"/>
      <c r="I31" s="198"/>
      <c r="J31" s="25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s="23" customFormat="1" ht="22.9" customHeight="1" x14ac:dyDescent="0.45">
      <c r="A32" s="29"/>
      <c r="B32" s="30" t="s">
        <v>20</v>
      </c>
      <c r="C32" s="31"/>
      <c r="D32" s="32"/>
      <c r="E32" s="33"/>
      <c r="F32" s="34">
        <f>SUM(F11:F31)</f>
        <v>0</v>
      </c>
      <c r="G32" s="34"/>
      <c r="H32" s="34">
        <f>SUM(H11:H31)</f>
        <v>0</v>
      </c>
      <c r="I32" s="35">
        <f>SUM(I11:I31)</f>
        <v>0</v>
      </c>
      <c r="J32" s="25"/>
      <c r="K32" s="220"/>
      <c r="M32" s="36"/>
    </row>
    <row r="33" spans="1:254" s="45" customFormat="1" ht="9.75" customHeight="1" x14ac:dyDescent="0.45">
      <c r="A33" s="37"/>
      <c r="B33" s="38"/>
      <c r="C33" s="39"/>
      <c r="D33" s="40"/>
      <c r="E33" s="39"/>
      <c r="F33" s="41"/>
      <c r="G33" s="42"/>
      <c r="H33" s="42"/>
      <c r="I33" s="43"/>
      <c r="J33" s="44"/>
    </row>
    <row r="34" spans="1:254" ht="21.75" x14ac:dyDescent="0.5">
      <c r="A34" s="46" t="s">
        <v>21</v>
      </c>
      <c r="B34" s="47" t="s">
        <v>22</v>
      </c>
      <c r="I34" s="48"/>
    </row>
    <row r="35" spans="1:254" ht="21.75" x14ac:dyDescent="0.5">
      <c r="A35" s="46" t="s">
        <v>23</v>
      </c>
      <c r="B35" s="49" t="s">
        <v>24</v>
      </c>
      <c r="I35" s="48"/>
    </row>
    <row r="36" spans="1:254" ht="23.1" customHeight="1" x14ac:dyDescent="0.5">
      <c r="A36" s="46" t="s">
        <v>11</v>
      </c>
      <c r="B36" s="49" t="s">
        <v>25</v>
      </c>
      <c r="J36" s="50"/>
    </row>
    <row r="37" spans="1:254" ht="22.9" customHeight="1" x14ac:dyDescent="0.5">
      <c r="A37" s="2"/>
      <c r="E37" s="3"/>
      <c r="J37" s="51"/>
    </row>
    <row r="38" spans="1:254" ht="23.1" customHeight="1" x14ac:dyDescent="0.5">
      <c r="A38" s="1"/>
      <c r="B38" s="13"/>
      <c r="E38" s="3"/>
    </row>
    <row r="39" spans="1:254" ht="23.1" customHeight="1" x14ac:dyDescent="0.5">
      <c r="A39" s="223"/>
      <c r="B39" s="225"/>
      <c r="C39" s="225"/>
      <c r="D39" s="225"/>
      <c r="E39" s="52"/>
      <c r="F39" s="52"/>
      <c r="G39" s="52"/>
      <c r="J39" s="225"/>
    </row>
    <row r="40" spans="1:254" ht="23.1" customHeight="1" x14ac:dyDescent="0.5">
      <c r="A40" s="224"/>
      <c r="B40" s="224"/>
      <c r="C40" s="224"/>
      <c r="D40" s="224"/>
      <c r="E40" s="53"/>
      <c r="F40" s="53"/>
      <c r="G40" s="53"/>
      <c r="H40" s="53"/>
      <c r="I40" s="53"/>
      <c r="J40" s="224"/>
    </row>
    <row r="41" spans="1:254" s="57" customFormat="1" ht="23.1" customHeight="1" x14ac:dyDescent="0.5">
      <c r="A41" s="13"/>
      <c r="B41" s="2"/>
      <c r="C41" s="54"/>
      <c r="D41" s="13"/>
      <c r="E41" s="54"/>
      <c r="F41" s="55"/>
      <c r="G41" s="55"/>
      <c r="H41" s="55"/>
      <c r="I41" s="55"/>
      <c r="J41" s="5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</row>
    <row r="42" spans="1:254" s="59" customFormat="1" ht="23.1" customHeight="1" x14ac:dyDescent="0.5">
      <c r="A42" s="13"/>
      <c r="B42" s="2"/>
      <c r="C42" s="54"/>
      <c r="D42" s="13"/>
      <c r="E42" s="54"/>
      <c r="F42" s="58"/>
      <c r="G42" s="55"/>
      <c r="H42" s="58"/>
      <c r="I42" s="58"/>
      <c r="J42" s="5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</row>
    <row r="43" spans="1:254" s="59" customFormat="1" ht="23.1" customHeight="1" x14ac:dyDescent="0.5">
      <c r="A43" s="13"/>
      <c r="B43" s="2"/>
      <c r="C43" s="54"/>
      <c r="D43" s="13"/>
      <c r="E43" s="54"/>
      <c r="F43" s="55"/>
      <c r="G43" s="55"/>
      <c r="H43" s="55"/>
      <c r="I43" s="55"/>
      <c r="J43" s="5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</row>
    <row r="44" spans="1:254" s="59" customFormat="1" ht="23.1" customHeight="1" x14ac:dyDescent="0.5">
      <c r="A44" s="13"/>
      <c r="B44" s="2"/>
      <c r="C44" s="60"/>
      <c r="D44" s="13"/>
      <c r="E44" s="54"/>
      <c r="F44" s="55"/>
      <c r="G44" s="55"/>
      <c r="H44" s="55"/>
      <c r="I44" s="55"/>
      <c r="J44" s="5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</row>
    <row r="45" spans="1:254" s="59" customFormat="1" ht="23.1" customHeight="1" x14ac:dyDescent="0.5">
      <c r="A45" s="13"/>
      <c r="B45" s="2"/>
      <c r="C45" s="60"/>
      <c r="D45" s="13"/>
      <c r="E45" s="54"/>
      <c r="F45" s="58"/>
      <c r="G45" s="55"/>
      <c r="H45" s="58"/>
      <c r="I45" s="58"/>
      <c r="J45" s="5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</row>
    <row r="46" spans="1:254" s="59" customFormat="1" ht="23.1" customHeight="1" x14ac:dyDescent="0.5">
      <c r="A46" s="13"/>
      <c r="B46" s="2"/>
      <c r="C46" s="60"/>
      <c r="D46" s="13"/>
      <c r="E46" s="54"/>
      <c r="F46" s="55"/>
      <c r="G46" s="55"/>
      <c r="H46" s="55"/>
      <c r="I46" s="55"/>
      <c r="J46" s="5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</row>
    <row r="47" spans="1:254" s="59" customFormat="1" ht="23.1" customHeight="1" x14ac:dyDescent="0.5">
      <c r="A47" s="13"/>
      <c r="B47" s="2"/>
      <c r="C47" s="60"/>
      <c r="D47" s="13"/>
      <c r="E47" s="54"/>
      <c r="F47" s="55"/>
      <c r="G47" s="55"/>
      <c r="H47" s="55"/>
      <c r="I47" s="55"/>
      <c r="J47" s="56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</row>
    <row r="48" spans="1:254" s="59" customFormat="1" ht="23.1" customHeight="1" x14ac:dyDescent="0.5">
      <c r="A48" s="13"/>
      <c r="B48" s="2"/>
      <c r="C48" s="60"/>
      <c r="D48" s="13"/>
      <c r="E48" s="54"/>
      <c r="F48" s="55"/>
      <c r="G48" s="55"/>
      <c r="H48" s="55"/>
      <c r="I48" s="55"/>
      <c r="J48" s="56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</row>
    <row r="49" spans="1:254" s="59" customFormat="1" ht="23.1" customHeight="1" x14ac:dyDescent="0.5">
      <c r="A49" s="13"/>
      <c r="B49" s="2"/>
      <c r="C49" s="60"/>
      <c r="D49" s="13"/>
      <c r="E49" s="54"/>
      <c r="F49" s="55"/>
      <c r="G49" s="55"/>
      <c r="H49" s="55"/>
      <c r="I49" s="55"/>
      <c r="J49" s="56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</row>
    <row r="50" spans="1:254" s="59" customFormat="1" ht="23.1" customHeight="1" x14ac:dyDescent="0.5">
      <c r="A50" s="13"/>
      <c r="B50" s="2"/>
      <c r="C50" s="60"/>
      <c r="D50" s="13"/>
      <c r="E50" s="54"/>
      <c r="F50" s="55"/>
      <c r="G50" s="55"/>
      <c r="H50" s="55"/>
      <c r="I50" s="55"/>
      <c r="J50" s="56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</row>
    <row r="51" spans="1:254" s="59" customFormat="1" ht="23.1" customHeight="1" x14ac:dyDescent="0.5">
      <c r="A51" s="13"/>
      <c r="B51" s="2"/>
      <c r="C51" s="60"/>
      <c r="D51" s="13"/>
      <c r="E51" s="54"/>
      <c r="F51" s="55"/>
      <c r="G51" s="55"/>
      <c r="H51" s="55"/>
      <c r="I51" s="55"/>
      <c r="J51" s="5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</row>
    <row r="52" spans="1:254" s="59" customFormat="1" ht="23.1" customHeight="1" x14ac:dyDescent="0.5">
      <c r="A52" s="13"/>
      <c r="B52" s="53"/>
      <c r="C52" s="60"/>
      <c r="D52" s="13"/>
      <c r="E52" s="54"/>
      <c r="F52" s="55"/>
      <c r="G52" s="55"/>
      <c r="H52" s="55"/>
      <c r="I52" s="55"/>
      <c r="J52" s="5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</row>
    <row r="53" spans="1:254" s="59" customFormat="1" ht="23.1" customHeight="1" x14ac:dyDescent="0.5">
      <c r="A53" s="61"/>
      <c r="B53" s="2"/>
      <c r="C53" s="60"/>
      <c r="D53" s="13"/>
      <c r="E53" s="54"/>
      <c r="F53" s="55"/>
      <c r="G53" s="55"/>
      <c r="H53" s="55"/>
      <c r="I53" s="55"/>
      <c r="J53" s="5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</row>
    <row r="54" spans="1:254" s="59" customFormat="1" ht="23.1" customHeight="1" x14ac:dyDescent="0.5">
      <c r="A54" s="13"/>
      <c r="B54" s="2"/>
      <c r="C54" s="60"/>
      <c r="D54" s="13"/>
      <c r="E54" s="54"/>
      <c r="F54" s="55"/>
      <c r="G54" s="55"/>
      <c r="H54" s="55"/>
      <c r="I54" s="55"/>
      <c r="J54" s="5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</row>
    <row r="55" spans="1:254" s="59" customFormat="1" ht="23.1" customHeight="1" x14ac:dyDescent="0.5">
      <c r="A55" s="61"/>
      <c r="B55" s="2"/>
      <c r="C55" s="60"/>
      <c r="D55" s="13"/>
      <c r="E55" s="54"/>
      <c r="F55" s="55"/>
      <c r="G55" s="55"/>
      <c r="H55" s="55"/>
      <c r="I55" s="55"/>
      <c r="J55" s="5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</row>
    <row r="56" spans="1:254" ht="23.1" customHeight="1" x14ac:dyDescent="0.5">
      <c r="A56" s="13"/>
      <c r="C56" s="54"/>
      <c r="D56" s="13"/>
      <c r="E56" s="54"/>
      <c r="F56" s="55"/>
      <c r="G56" s="55"/>
      <c r="H56" s="55"/>
      <c r="I56" s="55"/>
      <c r="J56" s="56"/>
    </row>
    <row r="57" spans="1:254" ht="23.1" customHeight="1" x14ac:dyDescent="0.5">
      <c r="A57" s="13"/>
      <c r="B57" s="62"/>
      <c r="C57" s="54"/>
      <c r="D57" s="13"/>
      <c r="E57" s="54"/>
      <c r="F57" s="55"/>
      <c r="G57" s="55"/>
      <c r="H57" s="55"/>
      <c r="I57" s="55"/>
      <c r="J57" s="56"/>
    </row>
    <row r="58" spans="1:254" ht="23.1" customHeight="1" x14ac:dyDescent="0.5">
      <c r="A58" s="61"/>
      <c r="B58" s="63"/>
      <c r="C58" s="60"/>
      <c r="D58" s="13"/>
      <c r="E58" s="54"/>
      <c r="F58" s="55"/>
      <c r="G58" s="55"/>
      <c r="H58" s="55"/>
      <c r="I58" s="55"/>
      <c r="J58" s="56"/>
    </row>
    <row r="59" spans="1:254" ht="23.1" customHeight="1" x14ac:dyDescent="0.5">
      <c r="A59" s="13"/>
      <c r="C59" s="54"/>
      <c r="D59" s="13"/>
      <c r="E59" s="54"/>
      <c r="F59" s="55"/>
      <c r="G59" s="55"/>
      <c r="H59" s="55"/>
      <c r="I59" s="55"/>
      <c r="J59" s="56"/>
    </row>
    <row r="60" spans="1:254" ht="23.1" customHeight="1" x14ac:dyDescent="0.5">
      <c r="A60" s="13"/>
      <c r="B60" s="62"/>
      <c r="C60" s="54"/>
      <c r="D60" s="13"/>
      <c r="E60" s="54"/>
      <c r="F60" s="55"/>
      <c r="G60" s="55"/>
      <c r="H60" s="55"/>
      <c r="I60" s="55"/>
      <c r="J60" s="56"/>
    </row>
    <row r="61" spans="1:254" ht="23.1" customHeight="1" x14ac:dyDescent="0.5">
      <c r="A61" s="13"/>
      <c r="C61" s="64"/>
      <c r="D61" s="13"/>
      <c r="E61" s="54"/>
      <c r="F61" s="55"/>
      <c r="G61" s="55"/>
      <c r="H61" s="55"/>
      <c r="I61" s="55"/>
      <c r="J61" s="56"/>
    </row>
    <row r="62" spans="1:254" ht="23.1" customHeight="1" x14ac:dyDescent="0.5">
      <c r="A62" s="65"/>
      <c r="B62" s="65"/>
    </row>
    <row r="63" spans="1:254" ht="23.1" customHeight="1" x14ac:dyDescent="0.5">
      <c r="A63" s="66"/>
      <c r="B63" s="65"/>
      <c r="C63" s="45"/>
      <c r="H63" s="67"/>
      <c r="I63" s="67"/>
      <c r="J63" s="67"/>
    </row>
    <row r="64" spans="1:254" ht="23.1" customHeight="1" x14ac:dyDescent="0.5">
      <c r="A64" s="66"/>
      <c r="B64" s="53"/>
      <c r="C64" s="45"/>
      <c r="H64" s="10"/>
      <c r="I64" s="10"/>
      <c r="J64" s="10"/>
    </row>
    <row r="65" spans="1:244" ht="23.1" customHeight="1" x14ac:dyDescent="0.5">
      <c r="A65" s="2"/>
    </row>
    <row r="66" spans="1:244" ht="23.1" customHeight="1" x14ac:dyDescent="0.5">
      <c r="A66" s="2"/>
    </row>
    <row r="67" spans="1:244" s="59" customFormat="1" ht="23.1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</row>
    <row r="68" spans="1:244" s="59" customFormat="1" ht="23.1" customHeight="1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</row>
    <row r="69" spans="1:244" s="59" customFormat="1" ht="23.1" customHeight="1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</row>
    <row r="70" spans="1:244" s="59" customFormat="1" ht="23.1" customHeight="1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</row>
    <row r="71" spans="1:244" s="59" customFormat="1" ht="23.1" customHeight="1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</row>
    <row r="72" spans="1:244" s="59" customFormat="1" ht="23.1" customHeight="1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</row>
    <row r="73" spans="1:244" s="59" customFormat="1" ht="23.1" customHeight="1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</row>
    <row r="74" spans="1:244" s="59" customFormat="1" ht="23.1" customHeight="1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</row>
    <row r="75" spans="1:244" s="59" customFormat="1" ht="23.1" customHeight="1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</row>
    <row r="76" spans="1:244" s="59" customFormat="1" ht="23.1" customHeight="1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</row>
    <row r="77" spans="1:244" s="59" customFormat="1" ht="23.1" customHeight="1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</row>
    <row r="78" spans="1:244" ht="23.1" customHeight="1" x14ac:dyDescent="0.5">
      <c r="A78" s="2"/>
    </row>
    <row r="79" spans="1:244" ht="23.1" customHeight="1" x14ac:dyDescent="0.5">
      <c r="A79" s="2"/>
    </row>
    <row r="80" spans="1:244" ht="23.1" customHeight="1" x14ac:dyDescent="0.5">
      <c r="A80" s="2"/>
    </row>
    <row r="81" spans="1:244" ht="23.1" customHeight="1" x14ac:dyDescent="0.5">
      <c r="A81" s="2"/>
    </row>
    <row r="82" spans="1:244" s="59" customFormat="1" ht="23.1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</row>
    <row r="83" spans="1:244" s="59" customFormat="1" ht="23.1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</row>
    <row r="84" spans="1:244" ht="23.1" customHeight="1" x14ac:dyDescent="0.5">
      <c r="A84" s="2"/>
    </row>
    <row r="85" spans="1:244" ht="23.1" customHeight="1" x14ac:dyDescent="0.5">
      <c r="A85" s="2"/>
    </row>
    <row r="86" spans="1:244" ht="23.1" customHeight="1" x14ac:dyDescent="0.5">
      <c r="A86" s="2"/>
    </row>
    <row r="87" spans="1:244" ht="23.1" customHeight="1" x14ac:dyDescent="0.5">
      <c r="A87" s="2"/>
    </row>
    <row r="88" spans="1:244" ht="23.1" customHeight="1" x14ac:dyDescent="0.5">
      <c r="A88" s="2"/>
    </row>
    <row r="89" spans="1:244" ht="23.1" customHeight="1" x14ac:dyDescent="0.5">
      <c r="A89" s="2"/>
    </row>
    <row r="90" spans="1:244" ht="23.1" customHeight="1" x14ac:dyDescent="0.5">
      <c r="A90" s="2"/>
    </row>
    <row r="91" spans="1:244" ht="23.1" customHeight="1" x14ac:dyDescent="0.5">
      <c r="A91" s="2"/>
    </row>
    <row r="92" spans="1:244" ht="23.1" customHeight="1" x14ac:dyDescent="0.5">
      <c r="A92" s="2"/>
    </row>
    <row r="93" spans="1:244" ht="23.1" customHeight="1" x14ac:dyDescent="0.5">
      <c r="A93" s="2"/>
    </row>
    <row r="94" spans="1:244" ht="23.1" customHeight="1" x14ac:dyDescent="0.5">
      <c r="A94" s="2"/>
    </row>
    <row r="95" spans="1:244" ht="23.1" customHeight="1" x14ac:dyDescent="0.5">
      <c r="A95" s="2"/>
    </row>
    <row r="96" spans="1:244" ht="23.1" customHeight="1" x14ac:dyDescent="0.5">
      <c r="A96" s="2"/>
    </row>
    <row r="97" spans="1:244" ht="23.1" customHeight="1" x14ac:dyDescent="0.5">
      <c r="A97" s="2"/>
    </row>
    <row r="98" spans="1:244" ht="23.1" customHeight="1" x14ac:dyDescent="0.5">
      <c r="A98" s="2"/>
    </row>
    <row r="99" spans="1:244" ht="23.1" customHeight="1" x14ac:dyDescent="0.5">
      <c r="A99" s="2"/>
    </row>
    <row r="100" spans="1:244" ht="23.1" customHeight="1" x14ac:dyDescent="0.5">
      <c r="A100" s="2"/>
    </row>
    <row r="101" spans="1:244" ht="23.1" customHeight="1" x14ac:dyDescent="0.5">
      <c r="A101" s="2"/>
    </row>
    <row r="102" spans="1:244" ht="23.1" customHeight="1" x14ac:dyDescent="0.5">
      <c r="A102" s="2"/>
    </row>
    <row r="103" spans="1:244" ht="23.1" customHeight="1" x14ac:dyDescent="0.5">
      <c r="A103" s="2"/>
    </row>
    <row r="104" spans="1:244" ht="23.1" customHeight="1" x14ac:dyDescent="0.5">
      <c r="A104" s="2"/>
    </row>
    <row r="105" spans="1:244" ht="23.1" customHeight="1" x14ac:dyDescent="0.5">
      <c r="A105" s="2"/>
    </row>
    <row r="106" spans="1:244" ht="23.1" customHeight="1" x14ac:dyDescent="0.5">
      <c r="A106" s="2"/>
    </row>
    <row r="107" spans="1:244" ht="23.1" customHeight="1" x14ac:dyDescent="0.5">
      <c r="A107" s="2"/>
    </row>
    <row r="108" spans="1:244" ht="23.1" customHeight="1" x14ac:dyDescent="0.5">
      <c r="A108" s="2"/>
    </row>
    <row r="109" spans="1:244" s="59" customFormat="1" ht="23.1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</row>
    <row r="110" spans="1:244" ht="23.1" customHeight="1" x14ac:dyDescent="0.5">
      <c r="A110" s="2"/>
    </row>
    <row r="111" spans="1:244" ht="23.1" customHeight="1" x14ac:dyDescent="0.5">
      <c r="A111" s="2"/>
    </row>
    <row r="112" spans="1:244" ht="23.1" customHeight="1" x14ac:dyDescent="0.5">
      <c r="A112" s="2"/>
    </row>
    <row r="113" spans="1:1" ht="23.1" customHeight="1" x14ac:dyDescent="0.5">
      <c r="A113" s="2"/>
    </row>
    <row r="114" spans="1:1" ht="23.1" customHeight="1" x14ac:dyDescent="0.5">
      <c r="A114" s="2"/>
    </row>
    <row r="115" spans="1:1" ht="23.1" customHeight="1" x14ac:dyDescent="0.5">
      <c r="A115" s="2"/>
    </row>
    <row r="116" spans="1:1" ht="23.1" customHeight="1" x14ac:dyDescent="0.5">
      <c r="A116" s="2"/>
    </row>
    <row r="117" spans="1:1" ht="23.1" customHeight="1" x14ac:dyDescent="0.5">
      <c r="A117" s="2"/>
    </row>
    <row r="118" spans="1:1" ht="23.1" customHeight="1" x14ac:dyDescent="0.5">
      <c r="A118" s="2"/>
    </row>
    <row r="119" spans="1:1" ht="23.1" customHeight="1" x14ac:dyDescent="0.5">
      <c r="A119" s="2"/>
    </row>
    <row r="120" spans="1:1" ht="23.1" customHeight="1" x14ac:dyDescent="0.5">
      <c r="A120" s="2"/>
    </row>
    <row r="121" spans="1:1" ht="23.1" customHeight="1" x14ac:dyDescent="0.5">
      <c r="A121" s="2"/>
    </row>
    <row r="122" spans="1:1" ht="23.1" customHeight="1" x14ac:dyDescent="0.5">
      <c r="A122" s="2"/>
    </row>
    <row r="123" spans="1:1" ht="23.1" customHeight="1" x14ac:dyDescent="0.5">
      <c r="A123" s="2"/>
    </row>
  </sheetData>
  <mergeCells count="12">
    <mergeCell ref="J9:J10"/>
    <mergeCell ref="A39:A40"/>
    <mergeCell ref="B39:B40"/>
    <mergeCell ref="C39:C40"/>
    <mergeCell ref="D39:D40"/>
    <mergeCell ref="J39:J40"/>
    <mergeCell ref="A9:A10"/>
    <mergeCell ref="B9:B10"/>
    <mergeCell ref="C9:C10"/>
    <mergeCell ref="D9:D10"/>
    <mergeCell ref="E9:F9"/>
    <mergeCell ref="G9:H9"/>
  </mergeCells>
  <printOptions horizontalCentered="1"/>
  <pageMargins left="0.23622047244094491" right="0.23622047244094491" top="0.23622047244094491" bottom="0" header="0.31496062992125984" footer="0.31496062992125984"/>
  <pageSetup paperSize="9" scale="77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R66"/>
  <sheetViews>
    <sheetView showGridLines="0" zoomScaleNormal="100" zoomScaleSheetLayoutView="115" workbookViewId="0">
      <selection activeCell="F32" sqref="F32"/>
    </sheetView>
  </sheetViews>
  <sheetFormatPr defaultColWidth="9.33203125" defaultRowHeight="21.75" x14ac:dyDescent="0.5"/>
  <cols>
    <col min="1" max="1" width="9.5" style="2" customWidth="1"/>
    <col min="2" max="2" width="10.6640625" style="2" customWidth="1"/>
    <col min="3" max="3" width="3.83203125" style="205" customWidth="1"/>
    <col min="4" max="4" width="10.1640625" style="2" customWidth="1"/>
    <col min="5" max="9" width="7" style="2" customWidth="1"/>
    <col min="10" max="10" width="16.5" style="2" customWidth="1"/>
    <col min="11" max="11" width="16" style="2" customWidth="1"/>
    <col min="12" max="12" width="18.1640625" style="2" customWidth="1"/>
    <col min="13" max="13" width="18" style="2" customWidth="1"/>
    <col min="14" max="14" width="16" style="2" customWidth="1"/>
    <col min="15" max="15" width="16.6640625" style="2" customWidth="1"/>
    <col min="16" max="16384" width="9.33203125" style="2"/>
  </cols>
  <sheetData>
    <row r="1" spans="1:18" ht="20.100000000000001" customHeight="1" x14ac:dyDescent="0.5"/>
    <row r="2" spans="1:18" ht="20.100000000000001" customHeight="1" x14ac:dyDescent="0.55000000000000004">
      <c r="N2" s="5"/>
      <c r="O2" s="9" t="s">
        <v>0</v>
      </c>
      <c r="Q2" s="71"/>
    </row>
    <row r="3" spans="1:18" ht="20.100000000000001" customHeight="1" x14ac:dyDescent="0.5">
      <c r="A3" s="72" t="s">
        <v>26</v>
      </c>
      <c r="B3" s="73"/>
      <c r="C3" s="206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9" t="s">
        <v>27</v>
      </c>
    </row>
    <row r="4" spans="1:18" ht="18" customHeight="1" x14ac:dyDescent="0.5">
      <c r="A4" s="74" t="s">
        <v>74</v>
      </c>
      <c r="B4" s="8"/>
      <c r="E4" s="3"/>
      <c r="H4" s="4"/>
      <c r="I4" s="4"/>
      <c r="J4" s="9"/>
    </row>
    <row r="5" spans="1:18" ht="20.100000000000001" customHeight="1" x14ac:dyDescent="0.55000000000000004">
      <c r="A5" s="72" t="s">
        <v>28</v>
      </c>
      <c r="B5" s="75"/>
      <c r="D5" s="218" t="str">
        <f>ปร.4!D6</f>
        <v>ปรับปรุงระบบจำหน่ายไฟฟ้าเป็นเคเบิลใต้ดิน</v>
      </c>
      <c r="E5" s="76"/>
      <c r="F5" s="76"/>
      <c r="G5" s="76"/>
      <c r="H5" s="76"/>
      <c r="I5" s="76"/>
      <c r="J5" s="75"/>
      <c r="K5" s="75"/>
      <c r="L5" s="75"/>
      <c r="M5" s="75"/>
      <c r="N5" s="75"/>
      <c r="O5" s="75"/>
      <c r="P5" s="77"/>
      <c r="Q5" s="77"/>
      <c r="R5" s="77"/>
    </row>
    <row r="6" spans="1:18" ht="24" x14ac:dyDescent="0.55000000000000004">
      <c r="A6" s="8" t="s">
        <v>72</v>
      </c>
      <c r="B6" s="75"/>
      <c r="D6" s="78" t="str">
        <f>ปร.4!B7</f>
        <v>บริเวณเขตพื้นที่เทศบาลเมืองตะพานหิน อ.ตะพานหิน</v>
      </c>
      <c r="J6" s="78" t="str">
        <f>ปร.4!D7</f>
        <v>ชส.ตะพานหิน จ.พิจิตร</v>
      </c>
      <c r="K6" s="75"/>
      <c r="L6" s="75"/>
      <c r="M6" s="75"/>
      <c r="N6" s="78"/>
      <c r="O6" s="75"/>
      <c r="P6" s="77"/>
      <c r="Q6" s="79"/>
      <c r="R6" s="77"/>
    </row>
    <row r="7" spans="1:18" ht="20.100000000000001" customHeight="1" x14ac:dyDescent="0.55000000000000004">
      <c r="A7" s="72" t="s">
        <v>30</v>
      </c>
      <c r="B7" s="75"/>
      <c r="C7" s="207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7"/>
      <c r="Q7" s="77"/>
      <c r="R7" s="77"/>
    </row>
    <row r="8" spans="1:18" ht="20.100000000000001" customHeight="1" x14ac:dyDescent="0.55000000000000004">
      <c r="A8" s="72" t="s">
        <v>80</v>
      </c>
      <c r="B8" s="75"/>
      <c r="D8" s="78" t="s">
        <v>79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7"/>
      <c r="Q8" s="77"/>
      <c r="R8" s="77"/>
    </row>
    <row r="9" spans="1:18" ht="20.100000000000001" customHeight="1" x14ac:dyDescent="0.55000000000000004">
      <c r="A9" s="72" t="s">
        <v>73</v>
      </c>
      <c r="B9" s="75"/>
      <c r="C9" s="208"/>
      <c r="D9" s="193"/>
      <c r="E9" s="80"/>
      <c r="F9" s="80"/>
      <c r="G9" s="80"/>
      <c r="H9" s="80"/>
      <c r="I9" s="80"/>
      <c r="J9" s="75"/>
      <c r="K9" s="75"/>
      <c r="L9" s="75"/>
      <c r="M9" s="75"/>
      <c r="N9" s="75"/>
      <c r="O9" s="75"/>
      <c r="P9" s="77"/>
      <c r="Q9" s="77"/>
      <c r="R9" s="77"/>
    </row>
    <row r="10" spans="1:18" s="12" customFormat="1" ht="56.45" customHeight="1" x14ac:dyDescent="0.45">
      <c r="A10" s="81" t="s">
        <v>6</v>
      </c>
      <c r="B10" s="243" t="s">
        <v>7</v>
      </c>
      <c r="C10" s="243"/>
      <c r="D10" s="243"/>
      <c r="E10" s="243"/>
      <c r="F10" s="243"/>
      <c r="G10" s="243"/>
      <c r="H10" s="243"/>
      <c r="I10" s="243"/>
      <c r="J10" s="243"/>
      <c r="K10" s="82"/>
      <c r="L10" s="83" t="s">
        <v>31</v>
      </c>
      <c r="M10" s="84" t="s">
        <v>32</v>
      </c>
      <c r="N10" s="83" t="s">
        <v>33</v>
      </c>
      <c r="O10" s="81" t="s">
        <v>11</v>
      </c>
      <c r="P10" s="79"/>
      <c r="Q10" s="79"/>
      <c r="R10" s="79"/>
    </row>
    <row r="11" spans="1:18" ht="18.75" customHeight="1" x14ac:dyDescent="0.55000000000000004">
      <c r="A11" s="85"/>
      <c r="B11" s="86" t="s">
        <v>34</v>
      </c>
      <c r="C11" s="209"/>
      <c r="D11" s="86"/>
      <c r="E11" s="86"/>
      <c r="F11" s="86"/>
      <c r="G11" s="86"/>
      <c r="H11" s="86"/>
      <c r="I11" s="86"/>
      <c r="J11" s="86"/>
      <c r="K11" s="86"/>
      <c r="L11" s="87"/>
      <c r="M11" s="88"/>
      <c r="N11" s="89"/>
      <c r="O11" s="90"/>
      <c r="P11" s="77"/>
      <c r="Q11" s="77"/>
      <c r="R11" s="77"/>
    </row>
    <row r="12" spans="1:18" ht="18.75" customHeight="1" x14ac:dyDescent="0.55000000000000004">
      <c r="A12" s="85"/>
      <c r="B12" s="202" t="s">
        <v>78</v>
      </c>
      <c r="C12" s="203" t="str">
        <f>D5</f>
        <v>ปรับปรุงระบบจำหน่ายไฟฟ้าเป็นเคเบิลใต้ดิน</v>
      </c>
      <c r="D12" s="86"/>
      <c r="E12" s="86"/>
      <c r="F12" s="86"/>
      <c r="G12" s="86"/>
      <c r="H12" s="86"/>
      <c r="I12" s="86"/>
      <c r="J12" s="86"/>
      <c r="K12" s="86"/>
      <c r="L12" s="122"/>
      <c r="M12" s="123"/>
      <c r="N12" s="143"/>
      <c r="O12" s="201"/>
      <c r="P12" s="77"/>
      <c r="Q12" s="77"/>
      <c r="R12" s="77"/>
    </row>
    <row r="13" spans="1:18" ht="18.75" customHeight="1" x14ac:dyDescent="0.55000000000000004">
      <c r="A13" s="69">
        <v>1</v>
      </c>
      <c r="B13" s="86" t="s">
        <v>3</v>
      </c>
      <c r="C13" s="204" t="str">
        <f>ปร.4!B7</f>
        <v>บริเวณเขตพื้นที่เทศบาลเมืองตะพานหิน อ.ตะพานหิน</v>
      </c>
      <c r="D13" s="187"/>
      <c r="E13" s="186"/>
      <c r="I13" s="187" t="str">
        <f>J6</f>
        <v>ชส.ตะพานหิน จ.พิจิตร</v>
      </c>
      <c r="J13" s="91"/>
      <c r="K13" s="91"/>
      <c r="L13" s="92">
        <f>ปร.4!I32</f>
        <v>0</v>
      </c>
      <c r="M13" s="93"/>
      <c r="N13" s="94"/>
      <c r="O13" s="95"/>
      <c r="P13" s="77"/>
      <c r="Q13" s="77"/>
      <c r="R13" s="77"/>
    </row>
    <row r="14" spans="1:18" ht="18.75" customHeight="1" x14ac:dyDescent="0.55000000000000004">
      <c r="A14" s="69"/>
      <c r="B14" s="86"/>
      <c r="C14" s="210"/>
      <c r="D14" s="187"/>
      <c r="E14" s="91"/>
      <c r="F14" s="91"/>
      <c r="G14" s="91"/>
      <c r="H14" s="91"/>
      <c r="I14" s="91"/>
      <c r="J14" s="91"/>
      <c r="K14" s="91"/>
      <c r="L14" s="92"/>
      <c r="M14" s="96"/>
      <c r="N14" s="94"/>
      <c r="O14" s="95"/>
      <c r="P14" s="77"/>
      <c r="Q14" s="77"/>
      <c r="R14" s="77"/>
    </row>
    <row r="15" spans="1:18" ht="18.75" customHeight="1" x14ac:dyDescent="0.55000000000000004">
      <c r="A15" s="69"/>
      <c r="B15" s="86"/>
      <c r="C15" s="101"/>
      <c r="D15" s="102"/>
      <c r="E15" s="97"/>
      <c r="F15" s="97"/>
      <c r="G15" s="97"/>
      <c r="H15" s="97"/>
      <c r="I15" s="97"/>
      <c r="J15" s="97"/>
      <c r="K15" s="97"/>
      <c r="L15" s="92"/>
      <c r="M15" s="93"/>
      <c r="N15" s="94"/>
      <c r="O15" s="98"/>
      <c r="P15" s="77"/>
      <c r="Q15" s="77"/>
      <c r="R15" s="77"/>
    </row>
    <row r="16" spans="1:18" ht="18.75" customHeight="1" x14ac:dyDescent="0.55000000000000004">
      <c r="A16" s="69"/>
      <c r="B16" s="86"/>
      <c r="C16" s="211"/>
      <c r="D16" s="97"/>
      <c r="E16" s="97"/>
      <c r="F16" s="97"/>
      <c r="G16" s="97"/>
      <c r="H16" s="97"/>
      <c r="I16" s="97"/>
      <c r="J16" s="97"/>
      <c r="K16" s="97"/>
      <c r="L16" s="92"/>
      <c r="M16" s="93"/>
      <c r="N16" s="94"/>
      <c r="O16" s="98"/>
      <c r="P16" s="77"/>
      <c r="Q16" s="77"/>
      <c r="R16" s="77"/>
    </row>
    <row r="17" spans="1:18" ht="18.75" customHeight="1" x14ac:dyDescent="0.55000000000000004">
      <c r="A17" s="69"/>
      <c r="B17" s="86"/>
      <c r="C17" s="211"/>
      <c r="D17" s="97"/>
      <c r="E17" s="97"/>
      <c r="F17" s="97"/>
      <c r="G17" s="97"/>
      <c r="H17" s="97"/>
      <c r="I17" s="97"/>
      <c r="J17" s="97"/>
      <c r="K17" s="97"/>
      <c r="L17" s="99"/>
      <c r="M17" s="98"/>
      <c r="N17" s="99"/>
      <c r="O17" s="98"/>
      <c r="P17" s="77"/>
      <c r="Q17" s="77"/>
      <c r="R17" s="77"/>
    </row>
    <row r="18" spans="1:18" ht="18.75" customHeight="1" x14ac:dyDescent="0.55000000000000004">
      <c r="A18" s="69"/>
      <c r="B18" s="86"/>
      <c r="D18" s="97"/>
      <c r="E18" s="97"/>
      <c r="F18" s="97"/>
      <c r="G18" s="97"/>
      <c r="H18" s="97"/>
      <c r="I18" s="97"/>
      <c r="J18" s="97"/>
      <c r="K18" s="97"/>
      <c r="L18" s="99"/>
      <c r="M18" s="98"/>
      <c r="N18" s="99"/>
      <c r="O18" s="98"/>
      <c r="P18" s="77"/>
      <c r="Q18" s="77"/>
      <c r="R18" s="77"/>
    </row>
    <row r="19" spans="1:18" ht="18.75" customHeight="1" x14ac:dyDescent="0.55000000000000004">
      <c r="A19" s="100"/>
      <c r="B19" s="101"/>
      <c r="C19" s="211"/>
      <c r="D19" s="102"/>
      <c r="E19" s="244" t="s">
        <v>35</v>
      </c>
      <c r="F19" s="244"/>
      <c r="G19" s="244"/>
      <c r="H19" s="244"/>
      <c r="I19" s="244"/>
      <c r="J19" s="244"/>
      <c r="K19" s="103"/>
      <c r="L19" s="92">
        <f>L13</f>
        <v>0</v>
      </c>
      <c r="M19" s="104"/>
      <c r="N19" s="99"/>
      <c r="O19" s="98"/>
      <c r="P19" s="77"/>
      <c r="Q19" s="77"/>
      <c r="R19" s="77"/>
    </row>
    <row r="20" spans="1:18" ht="18.75" customHeight="1" x14ac:dyDescent="0.55000000000000004">
      <c r="A20" s="105"/>
      <c r="B20" s="106"/>
      <c r="C20" s="212"/>
      <c r="D20" s="108"/>
      <c r="E20" s="245" t="s">
        <v>36</v>
      </c>
      <c r="F20" s="245"/>
      <c r="G20" s="245"/>
      <c r="H20" s="245"/>
      <c r="I20" s="245"/>
      <c r="J20" s="245"/>
      <c r="K20" s="107"/>
      <c r="L20" s="109">
        <v>1.1701999999999999</v>
      </c>
      <c r="M20" s="110"/>
      <c r="N20" s="111"/>
      <c r="O20" s="112"/>
      <c r="P20" s="77"/>
      <c r="Q20" s="77"/>
      <c r="R20" s="77"/>
    </row>
    <row r="21" spans="1:18" ht="18.75" customHeight="1" thickBot="1" x14ac:dyDescent="0.6">
      <c r="A21" s="113"/>
      <c r="B21" s="114"/>
      <c r="C21" s="213"/>
      <c r="D21" s="246" t="s">
        <v>37</v>
      </c>
      <c r="E21" s="246"/>
      <c r="F21" s="246"/>
      <c r="G21" s="246"/>
      <c r="H21" s="246"/>
      <c r="I21" s="246"/>
      <c r="J21" s="246"/>
      <c r="K21" s="115"/>
      <c r="L21" s="116">
        <f>L19*L20</f>
        <v>0</v>
      </c>
      <c r="M21" s="117"/>
      <c r="N21" s="116"/>
      <c r="O21" s="118"/>
      <c r="P21" s="77"/>
      <c r="Q21" s="77"/>
      <c r="R21" s="77"/>
    </row>
    <row r="22" spans="1:18" ht="18.75" customHeight="1" thickTop="1" x14ac:dyDescent="0.55000000000000004">
      <c r="A22" s="119"/>
      <c r="B22" s="120"/>
      <c r="C22" s="214"/>
      <c r="D22" s="121"/>
      <c r="E22" s="121"/>
      <c r="F22" s="121"/>
      <c r="G22" s="121"/>
      <c r="H22" s="121"/>
      <c r="I22" s="121"/>
      <c r="J22" s="121"/>
      <c r="K22" s="121"/>
      <c r="L22" s="122"/>
      <c r="M22" s="123"/>
      <c r="N22" s="122"/>
      <c r="O22" s="123"/>
      <c r="P22" s="77"/>
      <c r="Q22" s="77"/>
      <c r="R22" s="77"/>
    </row>
    <row r="23" spans="1:18" ht="5.0999999999999996" customHeight="1" x14ac:dyDescent="0.55000000000000004">
      <c r="A23" s="124"/>
      <c r="B23" s="125"/>
      <c r="C23" s="215"/>
      <c r="D23" s="126"/>
      <c r="E23" s="126"/>
      <c r="F23" s="126"/>
      <c r="G23" s="126"/>
      <c r="H23" s="126"/>
      <c r="I23" s="126"/>
      <c r="J23" s="126"/>
      <c r="K23" s="127"/>
      <c r="L23" s="124"/>
      <c r="M23" s="127"/>
      <c r="N23" s="124"/>
      <c r="O23" s="127"/>
      <c r="P23" s="77"/>
      <c r="Q23" s="77"/>
      <c r="R23" s="77"/>
    </row>
    <row r="24" spans="1:18" ht="18.75" customHeight="1" x14ac:dyDescent="0.55000000000000004">
      <c r="A24" s="128"/>
      <c r="B24" s="199" t="s">
        <v>83</v>
      </c>
      <c r="C24" s="200"/>
      <c r="D24" s="200"/>
      <c r="E24" s="247" t="str">
        <f>(BAHTTEXT(L21))</f>
        <v>ศูนย์บาทถ้วน</v>
      </c>
      <c r="F24" s="247"/>
      <c r="G24" s="247"/>
      <c r="H24" s="247"/>
      <c r="I24" s="247"/>
      <c r="J24" s="247"/>
      <c r="K24" s="129" t="s">
        <v>38</v>
      </c>
      <c r="L24" s="236"/>
      <c r="M24" s="237"/>
      <c r="N24" s="130"/>
      <c r="O24" s="10"/>
      <c r="P24" s="77"/>
      <c r="Q24" s="77"/>
      <c r="R24" s="77"/>
    </row>
    <row r="25" spans="1:18" ht="20.45" customHeight="1" x14ac:dyDescent="0.55000000000000004">
      <c r="A25" s="46" t="s">
        <v>21</v>
      </c>
      <c r="B25" s="47" t="s">
        <v>22</v>
      </c>
      <c r="C25" s="216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77"/>
      <c r="Q25" s="77"/>
      <c r="R25" s="77"/>
    </row>
    <row r="26" spans="1:18" ht="20.45" customHeight="1" x14ac:dyDescent="0.55000000000000004">
      <c r="A26" s="46"/>
      <c r="B26" s="49" t="s">
        <v>39</v>
      </c>
      <c r="C26" s="216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77"/>
      <c r="Q26" s="77"/>
      <c r="R26" s="77"/>
    </row>
    <row r="27" spans="1:18" ht="20.45" customHeight="1" x14ac:dyDescent="0.55000000000000004">
      <c r="A27" s="46" t="s">
        <v>11</v>
      </c>
      <c r="B27" s="49" t="s">
        <v>25</v>
      </c>
      <c r="P27" s="77"/>
      <c r="Q27" s="77"/>
      <c r="R27" s="77"/>
    </row>
    <row r="28" spans="1:18" ht="15" customHeight="1" x14ac:dyDescent="0.55000000000000004">
      <c r="D28" s="11"/>
      <c r="E28" s="11"/>
      <c r="F28" s="11"/>
      <c r="G28" s="11"/>
      <c r="J28" s="11"/>
      <c r="K28" s="11"/>
      <c r="M28" s="11"/>
      <c r="P28" s="77"/>
      <c r="Q28" s="77"/>
      <c r="R28" s="77"/>
    </row>
    <row r="29" spans="1:18" ht="20.100000000000001" customHeight="1" x14ac:dyDescent="0.55000000000000004">
      <c r="A29" s="72"/>
      <c r="B29" s="72"/>
      <c r="C29" s="180"/>
      <c r="D29" s="12"/>
      <c r="E29" s="12"/>
      <c r="F29" s="12"/>
      <c r="G29" s="12"/>
      <c r="H29" s="12"/>
      <c r="I29" s="131"/>
      <c r="J29" s="12"/>
      <c r="K29" s="12"/>
      <c r="L29" s="132"/>
      <c r="M29" s="11"/>
      <c r="N29" s="72"/>
      <c r="O29" s="72"/>
      <c r="P29" s="77"/>
      <c r="Q29" s="77"/>
      <c r="R29" s="77"/>
    </row>
    <row r="30" spans="1:18" ht="15" customHeight="1" x14ac:dyDescent="0.55000000000000004">
      <c r="C30" s="132"/>
      <c r="D30" s="12"/>
      <c r="E30" s="12"/>
      <c r="F30" s="12"/>
      <c r="G30" s="12"/>
      <c r="H30" s="133"/>
      <c r="I30" s="133"/>
      <c r="J30" s="12"/>
      <c r="K30" s="12"/>
      <c r="L30" s="12"/>
      <c r="P30" s="77"/>
      <c r="Q30" s="77"/>
      <c r="R30" s="77"/>
    </row>
    <row r="31" spans="1:18" ht="15" customHeight="1" x14ac:dyDescent="0.55000000000000004">
      <c r="P31" s="77"/>
      <c r="Q31" s="77"/>
      <c r="R31" s="77"/>
    </row>
    <row r="32" spans="1:18" ht="24" x14ac:dyDescent="0.55000000000000004">
      <c r="A32" s="77"/>
      <c r="B32" s="77"/>
      <c r="C32" s="21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24" x14ac:dyDescent="0.55000000000000004">
      <c r="A33" s="77"/>
      <c r="B33" s="77"/>
      <c r="C33" s="21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24" x14ac:dyDescent="0.55000000000000004">
      <c r="A34" s="77"/>
      <c r="B34" s="77"/>
      <c r="C34" s="21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24" x14ac:dyDescent="0.55000000000000004">
      <c r="A35" s="77"/>
      <c r="B35" s="77"/>
      <c r="C35" s="21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</row>
    <row r="36" spans="1:18" ht="24" x14ac:dyDescent="0.55000000000000004">
      <c r="A36" s="77"/>
      <c r="B36" s="77"/>
      <c r="C36" s="21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24" x14ac:dyDescent="0.55000000000000004">
      <c r="A37" s="77"/>
      <c r="B37" s="77"/>
      <c r="C37" s="21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24" x14ac:dyDescent="0.55000000000000004">
      <c r="A38" s="77"/>
      <c r="B38" s="77"/>
      <c r="C38" s="21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</row>
    <row r="39" spans="1:18" ht="24" x14ac:dyDescent="0.55000000000000004">
      <c r="A39" s="77"/>
      <c r="B39" s="238" t="s">
        <v>40</v>
      </c>
      <c r="C39" s="238"/>
      <c r="D39" s="238" t="s">
        <v>41</v>
      </c>
      <c r="E39" s="238"/>
      <c r="F39" s="55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</row>
    <row r="40" spans="1:18" ht="24" x14ac:dyDescent="0.55000000000000004">
      <c r="A40" s="77"/>
      <c r="B40" s="239">
        <v>10</v>
      </c>
      <c r="C40" s="240"/>
      <c r="D40" s="239">
        <v>1.2258</v>
      </c>
      <c r="E40" s="240"/>
      <c r="F40" s="58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</row>
    <row r="41" spans="1:18" ht="24" x14ac:dyDescent="0.55000000000000004">
      <c r="A41" s="77"/>
      <c r="B41" s="241">
        <v>20</v>
      </c>
      <c r="C41" s="242"/>
      <c r="D41" s="241">
        <v>1.1714</v>
      </c>
      <c r="E41" s="242"/>
      <c r="F41" s="55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</row>
    <row r="42" spans="1:18" ht="24" x14ac:dyDescent="0.55000000000000004">
      <c r="A42" s="77"/>
      <c r="E42" s="134"/>
      <c r="F42" s="55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</row>
    <row r="43" spans="1:18" ht="24" x14ac:dyDescent="0.55000000000000004">
      <c r="A43" s="77"/>
      <c r="B43" s="233" t="s">
        <v>42</v>
      </c>
      <c r="C43" s="233"/>
      <c r="D43" s="233"/>
      <c r="E43" s="135" t="str">
        <f>B10</f>
        <v>รายการ</v>
      </c>
      <c r="F43" s="136" t="s">
        <v>43</v>
      </c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</row>
    <row r="44" spans="1:18" ht="24" x14ac:dyDescent="0.55000000000000004">
      <c r="A44" s="77"/>
      <c r="B44" s="234" t="s">
        <v>44</v>
      </c>
      <c r="C44" s="234"/>
      <c r="D44" s="234"/>
      <c r="E44" s="134"/>
      <c r="F44" s="55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</row>
    <row r="45" spans="1:18" ht="24" x14ac:dyDescent="0.55000000000000004">
      <c r="A45" s="77"/>
      <c r="E45" s="134"/>
      <c r="F45" s="55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</row>
    <row r="46" spans="1:18" ht="24" x14ac:dyDescent="0.55000000000000004">
      <c r="A46" s="77"/>
      <c r="B46" s="224" t="s">
        <v>10</v>
      </c>
      <c r="C46" s="224"/>
      <c r="D46" s="131" t="s">
        <v>45</v>
      </c>
      <c r="E46" s="235">
        <f>L19</f>
        <v>0</v>
      </c>
      <c r="F46" s="235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</row>
    <row r="47" spans="1:18" ht="24" x14ac:dyDescent="0.55000000000000004">
      <c r="A47" s="77"/>
      <c r="B47" s="131"/>
      <c r="C47" s="180"/>
      <c r="D47" s="131" t="s">
        <v>45</v>
      </c>
      <c r="E47" s="235">
        <f>L19</f>
        <v>0</v>
      </c>
      <c r="F47" s="235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</row>
    <row r="48" spans="1:18" ht="24" x14ac:dyDescent="0.55000000000000004">
      <c r="A48" s="77"/>
      <c r="B48" s="131"/>
      <c r="C48" s="180"/>
      <c r="D48" s="131" t="s">
        <v>46</v>
      </c>
      <c r="E48" s="231">
        <v>10000000</v>
      </c>
      <c r="F48" s="231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</row>
    <row r="49" spans="1:18" ht="24" x14ac:dyDescent="0.55000000000000004">
      <c r="A49" s="77"/>
      <c r="B49" s="131"/>
      <c r="C49" s="180"/>
      <c r="D49" s="131" t="s">
        <v>47</v>
      </c>
      <c r="E49" s="231">
        <v>20000000</v>
      </c>
      <c r="F49" s="231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</row>
    <row r="50" spans="1:18" ht="24" x14ac:dyDescent="0.55000000000000004">
      <c r="A50" s="77"/>
      <c r="B50" s="131"/>
      <c r="C50" s="180"/>
      <c r="D50" s="131" t="s">
        <v>48</v>
      </c>
      <c r="E50" s="137">
        <f>D40</f>
        <v>1.2258</v>
      </c>
      <c r="F50" s="138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</row>
    <row r="51" spans="1:18" ht="24" x14ac:dyDescent="0.55000000000000004">
      <c r="A51" s="77"/>
      <c r="B51" s="131"/>
      <c r="C51" s="180"/>
      <c r="D51" s="131" t="s">
        <v>49</v>
      </c>
      <c r="E51" s="137">
        <f>D41</f>
        <v>1.1714</v>
      </c>
      <c r="F51" s="138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</row>
    <row r="52" spans="1:18" ht="24" x14ac:dyDescent="0.55000000000000004">
      <c r="A52" s="77"/>
      <c r="B52" s="232" t="s">
        <v>50</v>
      </c>
      <c r="C52" s="232"/>
      <c r="D52" s="232"/>
      <c r="E52" s="232"/>
      <c r="F52" s="232"/>
      <c r="G52" s="232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</row>
    <row r="53" spans="1:18" ht="24" x14ac:dyDescent="0.55000000000000004">
      <c r="A53" s="77"/>
      <c r="C53" s="180" t="s">
        <v>51</v>
      </c>
      <c r="D53" s="13" t="s">
        <v>52</v>
      </c>
      <c r="E53" s="139">
        <f>TRUNC(E50-((E50-E51)*(E47-E48)/(E49-E48)),4)</f>
        <v>1.2802</v>
      </c>
      <c r="F53" s="140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</row>
    <row r="54" spans="1:18" ht="24" x14ac:dyDescent="0.55000000000000004">
      <c r="A54" s="77"/>
      <c r="B54" s="77"/>
      <c r="C54" s="21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</row>
    <row r="55" spans="1:18" ht="24" x14ac:dyDescent="0.55000000000000004">
      <c r="A55" s="77"/>
      <c r="B55" s="77"/>
      <c r="C55" s="21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  <row r="56" spans="1:18" ht="24" x14ac:dyDescent="0.55000000000000004">
      <c r="A56" s="77"/>
      <c r="B56" s="77"/>
      <c r="C56" s="21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</row>
    <row r="57" spans="1:18" ht="24" x14ac:dyDescent="0.55000000000000004">
      <c r="A57" s="77"/>
      <c r="B57" s="77"/>
      <c r="C57" s="21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</row>
    <row r="58" spans="1:18" ht="24" x14ac:dyDescent="0.55000000000000004">
      <c r="A58" s="77"/>
      <c r="B58" s="77"/>
      <c r="C58" s="21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</row>
    <row r="59" spans="1:18" ht="24" x14ac:dyDescent="0.55000000000000004">
      <c r="A59" s="77"/>
      <c r="B59" s="77"/>
      <c r="C59" s="21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18" ht="24" x14ac:dyDescent="0.55000000000000004">
      <c r="A60" s="77"/>
      <c r="B60" s="77"/>
      <c r="C60" s="21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18" ht="24" x14ac:dyDescent="0.55000000000000004">
      <c r="A61" s="77"/>
      <c r="B61" s="77"/>
      <c r="C61" s="21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18" ht="24" x14ac:dyDescent="0.55000000000000004">
      <c r="A62" s="77"/>
      <c r="B62" s="77"/>
      <c r="C62" s="21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18" ht="24" x14ac:dyDescent="0.55000000000000004">
      <c r="A63" s="77"/>
      <c r="B63" s="77"/>
      <c r="C63" s="21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18" ht="24" x14ac:dyDescent="0.55000000000000004">
      <c r="A64" s="77"/>
      <c r="B64" s="77"/>
      <c r="C64" s="21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18" ht="24" x14ac:dyDescent="0.55000000000000004">
      <c r="A65" s="77"/>
      <c r="B65" s="77"/>
      <c r="C65" s="21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ht="24" x14ac:dyDescent="0.55000000000000004">
      <c r="A66" s="77"/>
      <c r="B66" s="77"/>
      <c r="C66" s="21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</sheetData>
  <mergeCells count="20">
    <mergeCell ref="B41:C41"/>
    <mergeCell ref="D41:E41"/>
    <mergeCell ref="B10:J10"/>
    <mergeCell ref="E19:J19"/>
    <mergeCell ref="E20:J20"/>
    <mergeCell ref="D21:J21"/>
    <mergeCell ref="E24:J24"/>
    <mergeCell ref="L24:M24"/>
    <mergeCell ref="B39:C39"/>
    <mergeCell ref="D39:E39"/>
    <mergeCell ref="B40:C40"/>
    <mergeCell ref="D40:E40"/>
    <mergeCell ref="E49:F49"/>
    <mergeCell ref="B52:G52"/>
    <mergeCell ref="B43:D43"/>
    <mergeCell ref="B44:D44"/>
    <mergeCell ref="B46:C46"/>
    <mergeCell ref="E46:F46"/>
    <mergeCell ref="E47:F47"/>
    <mergeCell ref="E48:F48"/>
  </mergeCells>
  <printOptions horizontalCentered="1"/>
  <pageMargins left="0.75" right="0.25" top="0.5" bottom="0.75" header="0.3" footer="0.3"/>
  <pageSetup paperSize="9" scale="8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Q55"/>
  <sheetViews>
    <sheetView showGridLines="0" view="pageBreakPreview" topLeftCell="A4" zoomScale="115" zoomScaleNormal="100" zoomScaleSheetLayoutView="115" workbookViewId="0">
      <selection activeCell="F32" sqref="F32"/>
    </sheetView>
  </sheetViews>
  <sheetFormatPr defaultColWidth="9.33203125" defaultRowHeight="21.75" x14ac:dyDescent="0.5"/>
  <cols>
    <col min="1" max="1" width="8.1640625" style="2" customWidth="1"/>
    <col min="2" max="2" width="9.33203125" style="2" customWidth="1"/>
    <col min="3" max="3" width="7" style="2" customWidth="1"/>
    <col min="4" max="4" width="17.83203125" style="2" customWidth="1"/>
    <col min="5" max="5" width="26" style="2" customWidth="1"/>
    <col min="6" max="6" width="7" style="2" customWidth="1"/>
    <col min="7" max="9" width="6.6640625" style="2" customWidth="1"/>
    <col min="10" max="10" width="31" style="2" customWidth="1"/>
    <col min="11" max="11" width="6.83203125" style="2" customWidth="1"/>
    <col min="12" max="12" width="7.5" style="2" customWidth="1"/>
    <col min="13" max="13" width="23.6640625" style="2" customWidth="1"/>
    <col min="14" max="14" width="16.5" style="2" customWidth="1"/>
    <col min="15" max="16384" width="9.33203125" style="2"/>
  </cols>
  <sheetData>
    <row r="1" spans="1:17" ht="20.100000000000001" customHeight="1" x14ac:dyDescent="0.5"/>
    <row r="2" spans="1:17" ht="20.100000000000001" customHeight="1" x14ac:dyDescent="0.55000000000000004">
      <c r="M2" s="5"/>
      <c r="N2" s="9" t="s">
        <v>0</v>
      </c>
      <c r="P2" s="71"/>
    </row>
    <row r="3" spans="1:17" ht="20.100000000000001" customHeight="1" x14ac:dyDescent="0.5">
      <c r="A3" s="6" t="s">
        <v>53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9" t="s">
        <v>54</v>
      </c>
    </row>
    <row r="4" spans="1:17" ht="18.75" customHeight="1" x14ac:dyDescent="0.5">
      <c r="A4" s="74" t="s">
        <v>74</v>
      </c>
      <c r="B4" s="8"/>
      <c r="E4" s="3"/>
      <c r="H4" s="4"/>
      <c r="I4" s="4"/>
      <c r="J4" s="9"/>
    </row>
    <row r="5" spans="1:17" ht="18.75" customHeight="1" x14ac:dyDescent="0.55000000000000004">
      <c r="A5" s="72" t="s">
        <v>28</v>
      </c>
      <c r="B5" s="75"/>
      <c r="C5" s="75"/>
      <c r="D5" s="76" t="str">
        <f>ปร.4!D6</f>
        <v>ปรับปรุงระบบจำหน่ายไฟฟ้าเป็นเคเบิลใต้ดิน</v>
      </c>
      <c r="E5" s="76"/>
      <c r="F5" s="76"/>
      <c r="G5" s="76"/>
      <c r="H5" s="76"/>
      <c r="I5" s="76"/>
      <c r="J5" s="75"/>
      <c r="K5" s="75"/>
      <c r="L5" s="75"/>
      <c r="M5" s="75"/>
      <c r="N5" s="75"/>
      <c r="O5" s="77"/>
      <c r="P5" s="77"/>
      <c r="Q5" s="77"/>
    </row>
    <row r="6" spans="1:17" ht="24" x14ac:dyDescent="0.55000000000000004">
      <c r="A6" s="72" t="s">
        <v>29</v>
      </c>
      <c r="B6" s="75"/>
      <c r="D6" s="78" t="str">
        <f>ปร.4!B7</f>
        <v>บริเวณเขตพื้นที่เทศบาลเมืองตะพานหิน อ.ตะพานหิน</v>
      </c>
      <c r="F6" s="78" t="str">
        <f>ปร.4!D7</f>
        <v>ชส.ตะพานหิน จ.พิจิตร</v>
      </c>
      <c r="H6" s="76"/>
      <c r="I6" s="76"/>
      <c r="J6" s="75"/>
      <c r="K6" s="75"/>
      <c r="L6" s="75"/>
      <c r="M6" s="78"/>
      <c r="N6" s="75"/>
      <c r="O6" s="77"/>
      <c r="P6" s="79"/>
      <c r="Q6" s="77"/>
    </row>
    <row r="7" spans="1:17" ht="20.100000000000001" customHeight="1" x14ac:dyDescent="0.55000000000000004">
      <c r="A7" s="72" t="s">
        <v>30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7"/>
      <c r="P7" s="77"/>
      <c r="Q7" s="77"/>
    </row>
    <row r="8" spans="1:17" ht="20.100000000000001" customHeight="1" x14ac:dyDescent="0.55000000000000004">
      <c r="A8" s="8" t="s">
        <v>81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7"/>
      <c r="P8" s="77"/>
      <c r="Q8" s="77"/>
    </row>
    <row r="9" spans="1:17" ht="20.100000000000001" customHeight="1" x14ac:dyDescent="0.55000000000000004">
      <c r="A9" s="8" t="s">
        <v>73</v>
      </c>
      <c r="B9" s="75"/>
      <c r="C9" s="192"/>
      <c r="D9" s="194"/>
      <c r="E9" s="80"/>
      <c r="F9" s="80"/>
      <c r="G9" s="80"/>
      <c r="H9" s="80"/>
      <c r="I9" s="80"/>
      <c r="J9" s="75"/>
      <c r="K9" s="75"/>
      <c r="L9" s="75"/>
      <c r="M9" s="75"/>
      <c r="N9" s="75"/>
      <c r="O9" s="77"/>
      <c r="P9" s="77"/>
      <c r="Q9" s="77"/>
    </row>
    <row r="10" spans="1:17" ht="15" customHeight="1" x14ac:dyDescent="0.55000000000000004">
      <c r="A10" s="77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141"/>
      <c r="N10" s="141" t="s">
        <v>5</v>
      </c>
      <c r="O10" s="77"/>
      <c r="P10" s="77"/>
      <c r="Q10" s="77"/>
    </row>
    <row r="11" spans="1:17" s="12" customFormat="1" ht="20.100000000000001" customHeight="1" x14ac:dyDescent="0.45">
      <c r="A11" s="81" t="s">
        <v>6</v>
      </c>
      <c r="B11" s="248" t="s">
        <v>7</v>
      </c>
      <c r="C11" s="243"/>
      <c r="D11" s="243"/>
      <c r="E11" s="243"/>
      <c r="F11" s="243"/>
      <c r="G11" s="243"/>
      <c r="H11" s="243"/>
      <c r="I11" s="243"/>
      <c r="J11" s="243"/>
      <c r="K11" s="243"/>
      <c r="L11" s="249"/>
      <c r="M11" s="81" t="s">
        <v>55</v>
      </c>
      <c r="N11" s="19" t="s">
        <v>11</v>
      </c>
      <c r="O11" s="79"/>
      <c r="P11" s="79"/>
      <c r="Q11" s="79"/>
    </row>
    <row r="12" spans="1:17" ht="18.75" customHeight="1" x14ac:dyDescent="0.55000000000000004">
      <c r="A12" s="69">
        <v>1</v>
      </c>
      <c r="B12" s="86" t="s">
        <v>77</v>
      </c>
      <c r="C12" s="91"/>
      <c r="D12" s="91"/>
      <c r="E12" s="91"/>
      <c r="F12" s="91"/>
      <c r="G12" s="91"/>
      <c r="H12" s="91"/>
      <c r="I12" s="91"/>
      <c r="J12" s="91"/>
      <c r="K12" s="146"/>
      <c r="L12" s="147"/>
      <c r="M12" s="148">
        <f>'ปร.5(ก)สรุปค่าก่อสร้าง=1  (2)'!L21</f>
        <v>0</v>
      </c>
      <c r="N12" s="142"/>
      <c r="O12" s="77"/>
      <c r="P12" s="77"/>
      <c r="Q12" s="77"/>
    </row>
    <row r="13" spans="1:17" ht="18.75" customHeight="1" x14ac:dyDescent="0.55000000000000004">
      <c r="A13" s="69"/>
      <c r="B13" s="86"/>
      <c r="C13" s="91"/>
      <c r="D13" s="91"/>
      <c r="E13" s="91"/>
      <c r="F13" s="91"/>
      <c r="G13" s="91"/>
      <c r="H13" s="91"/>
      <c r="I13" s="91"/>
      <c r="J13" s="91"/>
      <c r="K13" s="149"/>
      <c r="L13" s="150"/>
      <c r="M13" s="144"/>
      <c r="N13" s="142"/>
      <c r="O13" s="77"/>
      <c r="P13" s="77"/>
      <c r="Q13" s="77"/>
    </row>
    <row r="14" spans="1:17" ht="18.75" customHeight="1" x14ac:dyDescent="0.55000000000000004">
      <c r="A14" s="69"/>
      <c r="B14" s="86"/>
      <c r="C14" s="97"/>
      <c r="D14" s="97"/>
      <c r="E14" s="97"/>
      <c r="F14" s="97"/>
      <c r="G14" s="97"/>
      <c r="H14" s="97"/>
      <c r="I14" s="97"/>
      <c r="J14" s="97"/>
      <c r="K14" s="151"/>
      <c r="L14" s="98"/>
      <c r="M14" s="144"/>
      <c r="N14" s="70"/>
      <c r="O14" s="77"/>
      <c r="P14" s="77"/>
      <c r="Q14" s="77"/>
    </row>
    <row r="15" spans="1:17" ht="18.75" customHeight="1" x14ac:dyDescent="0.55000000000000004">
      <c r="A15" s="100"/>
      <c r="B15" s="101"/>
      <c r="C15" s="97"/>
      <c r="D15" s="97"/>
      <c r="E15" s="97"/>
      <c r="F15" s="97"/>
      <c r="G15" s="97"/>
      <c r="H15" s="97"/>
      <c r="I15" s="97"/>
      <c r="J15" s="97"/>
      <c r="K15" s="151"/>
      <c r="L15" s="98"/>
      <c r="M15" s="99"/>
      <c r="N15" s="100"/>
      <c r="O15" s="77"/>
      <c r="P15" s="77"/>
      <c r="Q15" s="77"/>
    </row>
    <row r="16" spans="1:17" ht="18.75" customHeight="1" thickBot="1" x14ac:dyDescent="0.6">
      <c r="A16" s="152"/>
      <c r="B16" s="153"/>
      <c r="C16" s="154"/>
      <c r="D16" s="154"/>
      <c r="E16" s="154"/>
      <c r="F16" s="154"/>
      <c r="G16" s="154"/>
      <c r="H16" s="154"/>
      <c r="I16" s="154"/>
      <c r="J16" s="154"/>
      <c r="K16" s="155"/>
      <c r="L16" s="156"/>
      <c r="M16" s="157"/>
      <c r="N16" s="158"/>
      <c r="O16" s="77"/>
      <c r="P16" s="77"/>
      <c r="Q16" s="77"/>
    </row>
    <row r="17" spans="1:17" ht="15" customHeight="1" thickTop="1" x14ac:dyDescent="0.55000000000000004">
      <c r="A17" s="250" t="s">
        <v>56</v>
      </c>
      <c r="B17" s="159"/>
      <c r="C17" s="160"/>
      <c r="D17" s="160"/>
      <c r="E17" s="160"/>
      <c r="F17" s="160"/>
      <c r="G17" s="253" t="s">
        <v>57</v>
      </c>
      <c r="H17" s="253"/>
      <c r="I17" s="253"/>
      <c r="J17" s="253"/>
      <c r="K17" s="253"/>
      <c r="L17" s="254"/>
      <c r="M17" s="161">
        <f>M12</f>
        <v>0</v>
      </c>
      <c r="N17" s="162"/>
      <c r="O17" s="77"/>
    </row>
    <row r="18" spans="1:17" ht="15" customHeight="1" x14ac:dyDescent="0.55000000000000004">
      <c r="A18" s="251"/>
      <c r="B18" s="163"/>
      <c r="C18" s="10"/>
      <c r="D18" s="10"/>
      <c r="E18" s="10"/>
      <c r="F18" s="10"/>
      <c r="G18" s="255" t="s">
        <v>58</v>
      </c>
      <c r="H18" s="255"/>
      <c r="I18" s="255"/>
      <c r="J18" s="255"/>
      <c r="K18" s="255"/>
      <c r="L18" s="256"/>
      <c r="M18" s="164">
        <f>M17*0.07</f>
        <v>0</v>
      </c>
      <c r="N18" s="162"/>
      <c r="O18" s="77"/>
    </row>
    <row r="19" spans="1:17" ht="15" customHeight="1" x14ac:dyDescent="0.55000000000000004">
      <c r="A19" s="251"/>
      <c r="B19" s="163"/>
      <c r="C19" s="10"/>
      <c r="D19" s="10"/>
      <c r="E19" s="10"/>
      <c r="F19" s="10"/>
      <c r="G19" s="257" t="s">
        <v>59</v>
      </c>
      <c r="H19" s="257"/>
      <c r="I19" s="257"/>
      <c r="J19" s="257"/>
      <c r="K19" s="257"/>
      <c r="L19" s="258"/>
      <c r="M19" s="165">
        <f>M17+M18</f>
        <v>0</v>
      </c>
      <c r="N19" s="162"/>
      <c r="O19" s="77"/>
    </row>
    <row r="20" spans="1:17" ht="15" customHeight="1" x14ac:dyDescent="0.55000000000000004">
      <c r="A20" s="252"/>
      <c r="B20" s="259" t="s">
        <v>60</v>
      </c>
      <c r="C20" s="260"/>
      <c r="D20" s="260"/>
      <c r="E20" s="243" t="str">
        <f>BAHTTEXT(M19)</f>
        <v>ศูนย์บาทถ้วน</v>
      </c>
      <c r="F20" s="243"/>
      <c r="G20" s="243"/>
      <c r="H20" s="243"/>
      <c r="I20" s="243"/>
      <c r="J20" s="243"/>
      <c r="K20" s="243"/>
      <c r="L20" s="243"/>
      <c r="M20" s="166" t="s">
        <v>38</v>
      </c>
      <c r="N20" s="167"/>
      <c r="O20" s="77"/>
    </row>
    <row r="21" spans="1:17" ht="21" customHeight="1" x14ac:dyDescent="0.55000000000000004">
      <c r="A21" s="46" t="s">
        <v>21</v>
      </c>
      <c r="B21" s="47" t="s">
        <v>22</v>
      </c>
      <c r="O21" s="77"/>
      <c r="P21" s="77"/>
      <c r="Q21" s="77"/>
    </row>
    <row r="22" spans="1:17" ht="21" customHeight="1" x14ac:dyDescent="0.55000000000000004">
      <c r="A22" s="46" t="s">
        <v>11</v>
      </c>
      <c r="B22" s="49" t="s">
        <v>25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</row>
    <row r="23" spans="1:17" ht="24" x14ac:dyDescent="0.55000000000000004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</row>
    <row r="24" spans="1:17" ht="24" x14ac:dyDescent="0.5500000000000000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</row>
    <row r="25" spans="1:17" ht="24" x14ac:dyDescent="0.55000000000000004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</row>
    <row r="26" spans="1:17" ht="24" x14ac:dyDescent="0.55000000000000004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</row>
    <row r="27" spans="1:17" ht="24" x14ac:dyDescent="0.55000000000000004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</row>
    <row r="28" spans="1:17" ht="24" x14ac:dyDescent="0.55000000000000004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</row>
    <row r="29" spans="1:17" ht="24" x14ac:dyDescent="0.55000000000000004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</row>
    <row r="30" spans="1:17" ht="24" x14ac:dyDescent="0.55000000000000004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</row>
    <row r="31" spans="1:17" ht="24" x14ac:dyDescent="0.55000000000000004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</row>
    <row r="32" spans="1:17" ht="24" x14ac:dyDescent="0.55000000000000004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</row>
    <row r="33" spans="1:17" ht="24" x14ac:dyDescent="0.55000000000000004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17" ht="24" x14ac:dyDescent="0.5500000000000000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ht="24" x14ac:dyDescent="0.55000000000000004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</row>
    <row r="36" spans="1:17" ht="24" x14ac:dyDescent="0.55000000000000004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17" ht="24" x14ac:dyDescent="0.55000000000000004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17" ht="24" x14ac:dyDescent="0.55000000000000004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1:17" ht="24" x14ac:dyDescent="0.55000000000000004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1:17" ht="24" x14ac:dyDescent="0.55000000000000004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</row>
    <row r="41" spans="1:17" ht="24" x14ac:dyDescent="0.55000000000000004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</row>
    <row r="42" spans="1:17" ht="24" x14ac:dyDescent="0.55000000000000004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</row>
    <row r="43" spans="1:17" ht="24" x14ac:dyDescent="0.55000000000000004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</row>
    <row r="44" spans="1:17" ht="24" x14ac:dyDescent="0.5500000000000000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</row>
    <row r="45" spans="1:17" ht="24" x14ac:dyDescent="0.55000000000000004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</row>
    <row r="46" spans="1:17" ht="24" x14ac:dyDescent="0.55000000000000004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17" ht="24" x14ac:dyDescent="0.55000000000000004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 spans="1:17" ht="24" x14ac:dyDescent="0.55000000000000004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</row>
    <row r="49" spans="1:17" ht="24" x14ac:dyDescent="0.55000000000000004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</row>
    <row r="50" spans="1:17" ht="24" x14ac:dyDescent="0.55000000000000004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pans="1:17" ht="24" x14ac:dyDescent="0.55000000000000004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pans="1:17" ht="24" x14ac:dyDescent="0.55000000000000004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</row>
    <row r="53" spans="1:17" ht="24" x14ac:dyDescent="0.55000000000000004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</row>
    <row r="54" spans="1:17" ht="24" x14ac:dyDescent="0.5500000000000000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</row>
    <row r="55" spans="1:17" ht="24" x14ac:dyDescent="0.55000000000000004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</row>
  </sheetData>
  <mergeCells count="7">
    <mergeCell ref="B11:L11"/>
    <mergeCell ref="A17:A20"/>
    <mergeCell ref="G17:L17"/>
    <mergeCell ref="G18:L18"/>
    <mergeCell ref="G19:L19"/>
    <mergeCell ref="B20:D20"/>
    <mergeCell ref="E20:L20"/>
  </mergeCells>
  <printOptions horizontalCentered="1"/>
  <pageMargins left="0.75" right="0.25" top="0.5" bottom="0.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3</vt:i4>
      </vt:variant>
    </vt:vector>
  </HeadingPairs>
  <TitlesOfParts>
    <vt:vector size="6" baseType="lpstr">
      <vt:lpstr>ปร.4</vt:lpstr>
      <vt:lpstr>ปร.5(ก)สรุปค่าก่อสร้าง=1  (2)</vt:lpstr>
      <vt:lpstr>ปร.6 (สรุป N! รวม)=1 (2)</vt:lpstr>
      <vt:lpstr>ปร.4!Print_Area</vt:lpstr>
      <vt:lpstr>'ปร.5(ก)สรุปค่าก่อสร้าง=1  (2)'!Print_Area</vt:lpstr>
      <vt:lpstr>'ปร.6 (สรุป N! รวม)=1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องค์การโทรศัพท์แห่งประเทศไทย</dc:creator>
  <cp:keywords/>
  <dc:description/>
  <cp:lastModifiedBy>sippothai w.</cp:lastModifiedBy>
  <cp:revision/>
  <cp:lastPrinted>2025-09-25T07:24:47Z</cp:lastPrinted>
  <dcterms:created xsi:type="dcterms:W3CDTF">1998-10-16T02:08:20Z</dcterms:created>
  <dcterms:modified xsi:type="dcterms:W3CDTF">2025-10-06T07:57:03Z</dcterms:modified>
  <cp:category/>
  <cp:contentStatus/>
</cp:coreProperties>
</file>